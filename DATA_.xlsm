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Ponka\Desktop\Диплом\Diplom2\"/>
    </mc:Choice>
  </mc:AlternateContent>
  <bookViews>
    <workbookView xWindow="-105" yWindow="-105" windowWidth="23258" windowHeight="12578" firstSheet="5" activeTab="10"/>
  </bookViews>
  <sheets>
    <sheet name="TEXT" sheetId="1" r:id="rId1"/>
    <sheet name="Спецификации" sheetId="8" r:id="rId2"/>
    <sheet name="грунты" sheetId="12" state="hidden" r:id="rId3"/>
    <sheet name="скв" sheetId="13" r:id="rId4"/>
    <sheet name="марки свай" sheetId="14" r:id="rId5"/>
    <sheet name="вес заб" sheetId="15" r:id="rId6"/>
    <sheet name="_1" sheetId="9" r:id="rId7"/>
    <sheet name="ВОР1" sheetId="11" r:id="rId8"/>
    <sheet name="_2" sheetId="5" r:id="rId9"/>
    <sheet name="ВОР2" sheetId="2" r:id="rId10"/>
    <sheet name="_ПС" sheetId="16" r:id="rId11"/>
    <sheet name="ВОР_ПС" sheetId="17" r:id="rId12"/>
  </sheets>
  <definedNames>
    <definedName name="N.дог.на.разраб.пр.док">TEXT!$C$11</definedName>
    <definedName name="oto" localSheetId="0">TEXT!$G$8</definedName>
    <definedName name="oto" localSheetId="11">ВОР_ПС!$K$8</definedName>
    <definedName name="oto" localSheetId="7">ВОР1!$P$6</definedName>
    <definedName name="oto" localSheetId="9">ВОР2!$O$8</definedName>
    <definedName name="oto">ВОР2!$O$8</definedName>
    <definedName name="балка.бетон">TEXT!$C$51</definedName>
    <definedName name="балка.ум.бетон">TEXT!$C$52</definedName>
    <definedName name="балка.умдш.бетон">TEXT!$C$53</definedName>
    <definedName name="бет.подг.бетон">TEXT!$C$31</definedName>
    <definedName name="выс.оп.пак">TEXT!$C$46</definedName>
    <definedName name="выс.шлам.сл">TEXT!$C$16</definedName>
    <definedName name="гип">TEXT!$C$13</definedName>
    <definedName name="зад.св.рост">TEXT!$C$15</definedName>
    <definedName name="лежни.бетон">TEXT!$C$49</definedName>
    <definedName name="лест.сходы">TEXT!$C$62</definedName>
    <definedName name="назв.ИССО">TEXT!$C$10</definedName>
    <definedName name="назв.объекта">TEXT!$C$9</definedName>
    <definedName name="опора.оголовок.бетон">TEXT!$C$44</definedName>
    <definedName name="опора.оголовок2.бетон">TEXT!$C$45</definedName>
    <definedName name="опора.подферм.бетон">TEXT!$C$43</definedName>
    <definedName name="опора.ростверк.бетон">TEXT!$C$34</definedName>
    <definedName name="опора.тело.бетон">TEXT!$C$35</definedName>
    <definedName name="перех.плиты.бетон">TEXT!$C$48</definedName>
    <definedName name="прв" localSheetId="10">TEXT!#REF!</definedName>
    <definedName name="прв" localSheetId="11">TEXT!#REF!</definedName>
    <definedName name="прв">TEXT!#REF!</definedName>
    <definedName name="рзб">TEXT!$C$12</definedName>
    <definedName name="свая.бетон1" localSheetId="10">TEXT!#REF!</definedName>
    <definedName name="свая.бетон1" localSheetId="11">TEXT!#REF!</definedName>
    <definedName name="свая.бетон1">TEXT!#REF!</definedName>
    <definedName name="свая.марка1" localSheetId="10">TEXT!#REF!</definedName>
    <definedName name="свая.марка1" localSheetId="11">TEXT!#REF!</definedName>
    <definedName name="свая.марка1">TEXT!#REF!</definedName>
    <definedName name="стат.мин">TEXT!$C$22</definedName>
    <definedName name="толщ.щеб.подг">TEXT!$C$30</definedName>
    <definedName name="устой.насадка.бетон">TEXT!$C$38</definedName>
    <definedName name="устой.открылок.бетон">TEXT!$C$39</definedName>
    <definedName name="устой.плитапроезда.бетон">TEXT!$C$40</definedName>
    <definedName name="устой.подферм.бетон">TEXT!$C$42</definedName>
    <definedName name="устой.ростверк.бетон">TEXT!$C$32</definedName>
    <definedName name="устой.тело.бетон">TEXT!$C$33</definedName>
    <definedName name="устой.укрепл.бетон">TEXT!$C$59</definedName>
    <definedName name="устой.упор.бетон">TEXT!$C$60</definedName>
    <definedName name="устой.шкаф.бетон">TEXT!$C$37</definedName>
    <definedName name="ушир.1.0">TEXT!$C$23</definedName>
    <definedName name="ушир.1.2">TEXT!$C$24</definedName>
    <definedName name="ушир.1.5">TEXT!$C$25</definedName>
    <definedName name="ушир.к.1.0">TEXT!$C$26</definedName>
    <definedName name="ушир.к.1.2">TEXT!$C$27</definedName>
    <definedName name="ушир.к.1.5">TEXT!$C$28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4" i="16" l="1"/>
  <c r="L61" i="16"/>
  <c r="L60" i="16"/>
  <c r="L42" i="16"/>
  <c r="L43" i="16"/>
  <c r="L25" i="16"/>
  <c r="G5" i="16" l="1"/>
  <c r="F5" i="16"/>
  <c r="E5" i="16"/>
  <c r="G7" i="17"/>
  <c r="H7" i="17"/>
  <c r="H8" i="17"/>
  <c r="H9" i="17"/>
  <c r="H10" i="17"/>
  <c r="H11" i="17"/>
  <c r="H44" i="17"/>
  <c r="H78" i="17"/>
  <c r="H79" i="17"/>
  <c r="H80" i="17"/>
  <c r="H81" i="17"/>
  <c r="H82" i="17" s="1"/>
  <c r="H83" i="17"/>
  <c r="H84" i="17"/>
  <c r="F7" i="17"/>
  <c r="L13" i="16"/>
  <c r="M70" i="16"/>
  <c r="N70" i="16"/>
  <c r="M71" i="16"/>
  <c r="N71" i="16"/>
  <c r="M72" i="16"/>
  <c r="N72" i="16"/>
  <c r="M73" i="16"/>
  <c r="N73" i="16"/>
  <c r="M75" i="16"/>
  <c r="N75" i="16"/>
  <c r="M77" i="16"/>
  <c r="N77" i="16"/>
  <c r="M78" i="16"/>
  <c r="N78" i="16"/>
  <c r="L77" i="16"/>
  <c r="L75" i="16"/>
  <c r="L71" i="16"/>
  <c r="L73" i="16"/>
  <c r="M62" i="16"/>
  <c r="N62" i="16"/>
  <c r="M63" i="16"/>
  <c r="N63" i="16"/>
  <c r="M64" i="16"/>
  <c r="N64" i="16"/>
  <c r="M69" i="16"/>
  <c r="N69" i="16"/>
  <c r="L64" i="16"/>
  <c r="L63" i="16"/>
  <c r="L62" i="16"/>
  <c r="L78" i="16"/>
  <c r="L72" i="16"/>
  <c r="L70" i="16"/>
  <c r="L69" i="16"/>
  <c r="M44" i="16"/>
  <c r="N44" i="16"/>
  <c r="M45" i="16"/>
  <c r="N45" i="16"/>
  <c r="M46" i="16"/>
  <c r="N46" i="16"/>
  <c r="M47" i="16"/>
  <c r="N47" i="16"/>
  <c r="M48" i="16"/>
  <c r="N48" i="16"/>
  <c r="M50" i="16"/>
  <c r="N50" i="16"/>
  <c r="M51" i="16"/>
  <c r="N51" i="16"/>
  <c r="M53" i="16"/>
  <c r="N53" i="16"/>
  <c r="M54" i="16"/>
  <c r="N54" i="16"/>
  <c r="M57" i="16"/>
  <c r="N57" i="16"/>
  <c r="M59" i="16"/>
  <c r="N59" i="16"/>
  <c r="M26" i="16"/>
  <c r="N26" i="16"/>
  <c r="M27" i="16"/>
  <c r="N27" i="16"/>
  <c r="M28" i="16"/>
  <c r="N28" i="16"/>
  <c r="M29" i="16"/>
  <c r="N29" i="16"/>
  <c r="M30" i="16"/>
  <c r="N30" i="16"/>
  <c r="M32" i="16"/>
  <c r="N32" i="16"/>
  <c r="M33" i="16"/>
  <c r="N33" i="16"/>
  <c r="M35" i="16"/>
  <c r="N35" i="16"/>
  <c r="M36" i="16"/>
  <c r="N36" i="16"/>
  <c r="M39" i="16"/>
  <c r="N39" i="16"/>
  <c r="M41" i="16"/>
  <c r="N41" i="16"/>
  <c r="N14" i="16"/>
  <c r="N15" i="16"/>
  <c r="N17" i="16"/>
  <c r="N19" i="16"/>
  <c r="N20" i="16"/>
  <c r="N21" i="16"/>
  <c r="N23" i="16"/>
  <c r="M15" i="16"/>
  <c r="M14" i="16"/>
  <c r="M17" i="16"/>
  <c r="M19" i="16"/>
  <c r="M20" i="16"/>
  <c r="M21" i="16"/>
  <c r="M23" i="16"/>
  <c r="L59" i="16"/>
  <c r="L57" i="16"/>
  <c r="L54" i="16"/>
  <c r="L50" i="16"/>
  <c r="L49" i="16"/>
  <c r="L48" i="16"/>
  <c r="L47" i="16"/>
  <c r="L46" i="16"/>
  <c r="L45" i="16"/>
  <c r="L44" i="16"/>
  <c r="L41" i="16"/>
  <c r="L39" i="16"/>
  <c r="L36" i="16"/>
  <c r="L32" i="16"/>
  <c r="L31" i="16"/>
  <c r="L30" i="16"/>
  <c r="L29" i="16"/>
  <c r="L28" i="16"/>
  <c r="L17" i="16"/>
  <c r="L15" i="16"/>
  <c r="L14" i="16"/>
  <c r="L20" i="16"/>
  <c r="L19" i="16"/>
  <c r="N12" i="16"/>
  <c r="N13" i="16"/>
  <c r="N9" i="16"/>
  <c r="M9" i="16"/>
  <c r="M12" i="16"/>
  <c r="M13" i="16"/>
  <c r="L12" i="16"/>
  <c r="L9" i="16"/>
  <c r="F42" i="16"/>
  <c r="F41" i="16"/>
  <c r="G77" i="17" s="1"/>
  <c r="F38" i="16"/>
  <c r="F24" i="16"/>
  <c r="D24" i="16" s="1"/>
  <c r="F23" i="16"/>
  <c r="F25" i="16" s="1"/>
  <c r="F19" i="16"/>
  <c r="M37" i="16"/>
  <c r="F17" i="16"/>
  <c r="M31" i="16" s="1"/>
  <c r="F14" i="16"/>
  <c r="M34" i="16" s="1"/>
  <c r="M52" i="16"/>
  <c r="F13" i="16"/>
  <c r="M67" i="16" s="1"/>
  <c r="F10" i="16"/>
  <c r="M16" i="16" s="1"/>
  <c r="F7" i="16"/>
  <c r="G42" i="16"/>
  <c r="E42" i="16"/>
  <c r="G17" i="16"/>
  <c r="N49" i="16" s="1"/>
  <c r="G83" i="17"/>
  <c r="F83" i="17"/>
  <c r="D8" i="16"/>
  <c r="D41" i="16" s="1"/>
  <c r="G19" i="16"/>
  <c r="N37" i="16" s="1"/>
  <c r="G14" i="16"/>
  <c r="N79" i="16" s="1"/>
  <c r="G13" i="16"/>
  <c r="N65" i="16" s="1"/>
  <c r="E10" i="16"/>
  <c r="L16" i="16" s="1"/>
  <c r="E12" i="16"/>
  <c r="F81" i="17" s="1"/>
  <c r="E19" i="16"/>
  <c r="L37" i="16" s="1"/>
  <c r="E14" i="16"/>
  <c r="L34" i="16" s="1"/>
  <c r="E13" i="16"/>
  <c r="L56" i="16" s="1"/>
  <c r="E11" i="16"/>
  <c r="L35" i="16" s="1"/>
  <c r="G10" i="16"/>
  <c r="N22" i="16" s="1"/>
  <c r="G9" i="17"/>
  <c r="F9" i="17"/>
  <c r="G24" i="16"/>
  <c r="E24" i="16"/>
  <c r="E23" i="16"/>
  <c r="E25" i="16" s="1"/>
  <c r="G41" i="16"/>
  <c r="H77" i="17" s="1"/>
  <c r="E41" i="16"/>
  <c r="F77" i="17" s="1"/>
  <c r="G38" i="16"/>
  <c r="G23" i="16"/>
  <c r="G25" i="16" s="1"/>
  <c r="G7" i="16"/>
  <c r="E7" i="16"/>
  <c r="E38" i="16"/>
  <c r="B82" i="8"/>
  <c r="E17" i="5"/>
  <c r="AC2" i="13"/>
  <c r="AF4" i="13"/>
  <c r="AH4" i="13" s="1"/>
  <c r="T2" i="13"/>
  <c r="U2" i="13"/>
  <c r="K2" i="13"/>
  <c r="N4" i="13" s="1"/>
  <c r="B2" i="13"/>
  <c r="E4" i="13" s="1"/>
  <c r="G7" i="11"/>
  <c r="I26" i="9"/>
  <c r="K268" i="11" s="1"/>
  <c r="I25" i="9"/>
  <c r="I24" i="9"/>
  <c r="I38" i="9" s="1"/>
  <c r="H26" i="9"/>
  <c r="J369" i="11" s="1"/>
  <c r="H25" i="9"/>
  <c r="H24" i="9"/>
  <c r="H38" i="9" s="1"/>
  <c r="F26" i="9"/>
  <c r="H369" i="11" s="1"/>
  <c r="F25" i="9"/>
  <c r="F24" i="9"/>
  <c r="E26" i="9"/>
  <c r="E25" i="9"/>
  <c r="E24" i="9"/>
  <c r="E38" i="9" s="1"/>
  <c r="E10" i="9"/>
  <c r="I453" i="11"/>
  <c r="F453" i="11"/>
  <c r="I10" i="9"/>
  <c r="H10" i="9"/>
  <c r="G10" i="9" s="1"/>
  <c r="F10" i="9"/>
  <c r="I9" i="9"/>
  <c r="H9" i="9"/>
  <c r="G9" i="9" s="1"/>
  <c r="F9" i="9"/>
  <c r="E9" i="9"/>
  <c r="K7" i="11"/>
  <c r="J7" i="11"/>
  <c r="H7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J401" i="11" s="1"/>
  <c r="B400" i="11"/>
  <c r="B399" i="11"/>
  <c r="B398" i="11"/>
  <c r="B397" i="11"/>
  <c r="B396" i="11"/>
  <c r="B395" i="11"/>
  <c r="B394" i="11"/>
  <c r="B393" i="11"/>
  <c r="J393" i="11" s="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14" i="11"/>
  <c r="B92" i="9" s="1"/>
  <c r="B313" i="11"/>
  <c r="B91" i="9" s="1"/>
  <c r="B312" i="11"/>
  <c r="B90" i="9" s="1"/>
  <c r="H90" i="9" s="1"/>
  <c r="B63" i="13"/>
  <c r="B311" i="11"/>
  <c r="B89" i="9" s="1"/>
  <c r="B310" i="11"/>
  <c r="B88" i="9" s="1"/>
  <c r="B309" i="11"/>
  <c r="B60" i="13" s="1"/>
  <c r="B308" i="11"/>
  <c r="B59" i="13" s="1"/>
  <c r="AC59" i="13" s="1"/>
  <c r="B307" i="11"/>
  <c r="B85" i="9" s="1"/>
  <c r="B58" i="13"/>
  <c r="B306" i="11"/>
  <c r="B84" i="9" s="1"/>
  <c r="B57" i="13"/>
  <c r="B305" i="11"/>
  <c r="B83" i="9" s="1"/>
  <c r="B304" i="11"/>
  <c r="B82" i="9" s="1"/>
  <c r="B55" i="13"/>
  <c r="B303" i="11"/>
  <c r="B81" i="9" s="1"/>
  <c r="B302" i="11"/>
  <c r="B80" i="9" s="1"/>
  <c r="B301" i="11"/>
  <c r="B79" i="9" s="1"/>
  <c r="B52" i="13"/>
  <c r="AC52" i="13" s="1"/>
  <c r="B300" i="11"/>
  <c r="B78" i="9" s="1"/>
  <c r="B51" i="13"/>
  <c r="B299" i="11"/>
  <c r="B77" i="9" s="1"/>
  <c r="B298" i="11"/>
  <c r="B76" i="9" s="1"/>
  <c r="H76" i="9" s="1"/>
  <c r="B297" i="11"/>
  <c r="B75" i="9" s="1"/>
  <c r="B296" i="11"/>
  <c r="B74" i="9" s="1"/>
  <c r="B47" i="13"/>
  <c r="AC47" i="13" s="1"/>
  <c r="B295" i="11"/>
  <c r="B73" i="9" s="1"/>
  <c r="F73" i="9" s="1"/>
  <c r="B46" i="13"/>
  <c r="K46" i="13" s="1"/>
  <c r="R46" i="13" s="1"/>
  <c r="B294" i="11"/>
  <c r="B72" i="9" s="1"/>
  <c r="B45" i="13"/>
  <c r="B293" i="11"/>
  <c r="B71" i="9" s="1"/>
  <c r="B44" i="13"/>
  <c r="B292" i="11"/>
  <c r="B43" i="13" s="1"/>
  <c r="B291" i="11"/>
  <c r="B69" i="9" s="1"/>
  <c r="B290" i="11"/>
  <c r="B68" i="9" s="1"/>
  <c r="B41" i="13"/>
  <c r="B289" i="11"/>
  <c r="B67" i="9" s="1"/>
  <c r="B40" i="13"/>
  <c r="B288" i="11"/>
  <c r="B39" i="13" s="1"/>
  <c r="B287" i="11"/>
  <c r="B65" i="9" s="1"/>
  <c r="F65" i="9" s="1"/>
  <c r="B286" i="11"/>
  <c r="B37" i="13" s="1"/>
  <c r="B285" i="11"/>
  <c r="B63" i="9" s="1"/>
  <c r="B284" i="11"/>
  <c r="B62" i="9" s="1"/>
  <c r="B283" i="11"/>
  <c r="B61" i="9" s="1"/>
  <c r="B282" i="11"/>
  <c r="B60" i="9" s="1"/>
  <c r="B33" i="13"/>
  <c r="B281" i="11"/>
  <c r="B59" i="9" s="1"/>
  <c r="B280" i="11"/>
  <c r="B58" i="9" s="1"/>
  <c r="B279" i="11"/>
  <c r="B57" i="9" s="1"/>
  <c r="B30" i="13"/>
  <c r="B278" i="11"/>
  <c r="B56" i="9" s="1"/>
  <c r="B277" i="11"/>
  <c r="B55" i="9" s="1"/>
  <c r="B276" i="11"/>
  <c r="B54" i="9" s="1"/>
  <c r="B27" i="13"/>
  <c r="B275" i="11"/>
  <c r="B53" i="9" s="1"/>
  <c r="B26" i="13"/>
  <c r="B274" i="11"/>
  <c r="B25" i="13" s="1"/>
  <c r="B273" i="11"/>
  <c r="B51" i="9" s="1"/>
  <c r="B272" i="11"/>
  <c r="B50" i="9" s="1"/>
  <c r="B271" i="11"/>
  <c r="B49" i="9" s="1"/>
  <c r="B270" i="11"/>
  <c r="B48" i="9" s="1"/>
  <c r="B269" i="11"/>
  <c r="B47" i="9" s="1"/>
  <c r="B20" i="13"/>
  <c r="B368" i="11"/>
  <c r="H14" i="2"/>
  <c r="I23" i="9"/>
  <c r="H23" i="9"/>
  <c r="F23" i="9"/>
  <c r="E23" i="9"/>
  <c r="T11" i="13"/>
  <c r="V11" i="13" s="1"/>
  <c r="W11" i="13"/>
  <c r="Y11" i="13" s="1"/>
  <c r="AF11" i="13"/>
  <c r="AH11" i="13"/>
  <c r="AF12" i="13"/>
  <c r="AC11" i="13"/>
  <c r="AD11" i="13" s="1"/>
  <c r="AC10" i="13"/>
  <c r="AC8" i="13"/>
  <c r="AE8" i="13" s="1"/>
  <c r="AC7" i="13"/>
  <c r="AC12" i="13"/>
  <c r="AE12" i="13" s="1"/>
  <c r="AC9" i="13"/>
  <c r="AC6" i="13"/>
  <c r="AD6" i="13" s="1"/>
  <c r="AC5" i="13"/>
  <c r="AE5" i="13" s="1"/>
  <c r="AC4" i="13"/>
  <c r="AE4" i="13" s="1"/>
  <c r="AF10" i="13"/>
  <c r="AH10" i="13"/>
  <c r="AF9" i="13"/>
  <c r="AH9" i="13" s="1"/>
  <c r="AF8" i="13"/>
  <c r="AH8" i="13" s="1"/>
  <c r="AF7" i="13"/>
  <c r="AH7" i="13"/>
  <c r="AF6" i="13"/>
  <c r="AH6" i="13"/>
  <c r="AF5" i="13"/>
  <c r="AH5" i="13" s="1"/>
  <c r="T12" i="13"/>
  <c r="T10" i="13"/>
  <c r="T9" i="13"/>
  <c r="T8" i="13"/>
  <c r="U8" i="13" s="1"/>
  <c r="T7" i="13"/>
  <c r="V7" i="13"/>
  <c r="T6" i="13"/>
  <c r="U6" i="13" s="1"/>
  <c r="T5" i="13"/>
  <c r="V5" i="13" s="1"/>
  <c r="T4" i="13"/>
  <c r="W5" i="13"/>
  <c r="Y5" i="13" s="1"/>
  <c r="W6" i="13"/>
  <c r="Y6" i="13" s="1"/>
  <c r="W7" i="13"/>
  <c r="Y7" i="13"/>
  <c r="W8" i="13"/>
  <c r="Y8" i="13"/>
  <c r="W9" i="13"/>
  <c r="Y9" i="13" s="1"/>
  <c r="W10" i="13"/>
  <c r="Y10" i="13" s="1"/>
  <c r="W12" i="13"/>
  <c r="B7" i="13"/>
  <c r="K12" i="13"/>
  <c r="K11" i="13"/>
  <c r="L11" i="13"/>
  <c r="K10" i="13"/>
  <c r="M10" i="13"/>
  <c r="K9" i="13"/>
  <c r="L9" i="13" s="1"/>
  <c r="K8" i="13"/>
  <c r="L8" i="13" s="1"/>
  <c r="K7" i="13"/>
  <c r="K6" i="13"/>
  <c r="L6" i="13" s="1"/>
  <c r="K5" i="13"/>
  <c r="L5" i="13"/>
  <c r="K4" i="13"/>
  <c r="B4" i="13"/>
  <c r="C4" i="13"/>
  <c r="N12" i="13"/>
  <c r="N11" i="13"/>
  <c r="P11" i="13"/>
  <c r="N10" i="13"/>
  <c r="P10" i="13"/>
  <c r="N9" i="13"/>
  <c r="P9" i="13" s="1"/>
  <c r="N8" i="13"/>
  <c r="P8" i="13" s="1"/>
  <c r="N7" i="13"/>
  <c r="P7" i="13"/>
  <c r="N6" i="13"/>
  <c r="P6" i="13"/>
  <c r="N5" i="13"/>
  <c r="P5" i="13" s="1"/>
  <c r="B12" i="13"/>
  <c r="C12" i="13" s="1"/>
  <c r="B11" i="13"/>
  <c r="D11" i="13"/>
  <c r="B10" i="13"/>
  <c r="C10" i="13"/>
  <c r="B9" i="13"/>
  <c r="D9" i="13" s="1"/>
  <c r="B8" i="13"/>
  <c r="D8" i="13" s="1"/>
  <c r="B6" i="13"/>
  <c r="B5" i="13"/>
  <c r="C5" i="13" s="1"/>
  <c r="E5" i="13"/>
  <c r="G5" i="13" s="1"/>
  <c r="E6" i="13"/>
  <c r="G6" i="13"/>
  <c r="E7" i="13"/>
  <c r="G7" i="13"/>
  <c r="E8" i="13"/>
  <c r="G8" i="13" s="1"/>
  <c r="E9" i="13"/>
  <c r="G9" i="13" s="1"/>
  <c r="E10" i="13"/>
  <c r="G10" i="13"/>
  <c r="E11" i="13"/>
  <c r="G11" i="13"/>
  <c r="E12" i="13"/>
  <c r="G12" i="13" s="1"/>
  <c r="O13" i="2"/>
  <c r="H43" i="5"/>
  <c r="J99" i="2" s="1"/>
  <c r="E43" i="5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K13" i="2"/>
  <c r="K11" i="2" s="1"/>
  <c r="H13" i="2"/>
  <c r="H12" i="2" s="1"/>
  <c r="K48" i="2"/>
  <c r="K46" i="2" s="1"/>
  <c r="H48" i="2"/>
  <c r="H46" i="2" s="1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 s="1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1" i="2" s="1"/>
  <c r="O83" i="2"/>
  <c r="E44" i="5"/>
  <c r="E38" i="5"/>
  <c r="H44" i="5"/>
  <c r="H38" i="5"/>
  <c r="O48" i="2"/>
  <c r="H10" i="5"/>
  <c r="H11" i="5"/>
  <c r="H24" i="5"/>
  <c r="H25" i="5"/>
  <c r="H26" i="5"/>
  <c r="H27" i="5"/>
  <c r="H46" i="5"/>
  <c r="H49" i="5"/>
  <c r="H48" i="5"/>
  <c r="J118" i="2" s="1"/>
  <c r="K118" i="2"/>
  <c r="H118" i="2"/>
  <c r="K119" i="2"/>
  <c r="H119" i="2"/>
  <c r="K116" i="2"/>
  <c r="J116" i="2"/>
  <c r="I116" i="2"/>
  <c r="H116" i="2"/>
  <c r="K117" i="2"/>
  <c r="H117" i="2"/>
  <c r="H47" i="5"/>
  <c r="E47" i="5"/>
  <c r="H35" i="5"/>
  <c r="E35" i="5"/>
  <c r="H21" i="5"/>
  <c r="E21" i="5"/>
  <c r="E14" i="5"/>
  <c r="H30" i="5"/>
  <c r="E30" i="5"/>
  <c r="H14" i="5"/>
  <c r="J249" i="11"/>
  <c r="J267" i="11"/>
  <c r="P454" i="11"/>
  <c r="P455" i="11"/>
  <c r="P456" i="11"/>
  <c r="P457" i="11"/>
  <c r="B267" i="11"/>
  <c r="G27" i="9"/>
  <c r="D27" i="9"/>
  <c r="C27" i="9"/>
  <c r="H8" i="2"/>
  <c r="J8" i="2"/>
  <c r="J9" i="2" s="1"/>
  <c r="I9" i="2" s="1"/>
  <c r="K8" i="2"/>
  <c r="I8" i="2" s="1"/>
  <c r="K9" i="2"/>
  <c r="H10" i="2"/>
  <c r="K10" i="2"/>
  <c r="D16" i="5"/>
  <c r="C16" i="5" s="1"/>
  <c r="G16" i="5"/>
  <c r="E31" i="5"/>
  <c r="D31" i="5"/>
  <c r="H31" i="5"/>
  <c r="G31" i="5" s="1"/>
  <c r="C11" i="9"/>
  <c r="E15" i="9"/>
  <c r="G121" i="11" s="1"/>
  <c r="F15" i="9"/>
  <c r="H73" i="11" s="1"/>
  <c r="H74" i="11" s="1"/>
  <c r="H15" i="9"/>
  <c r="J171" i="11" s="1"/>
  <c r="I15" i="9"/>
  <c r="K153" i="11" s="1"/>
  <c r="K154" i="11" s="1"/>
  <c r="K171" i="11"/>
  <c r="K172" i="11" s="1"/>
  <c r="D16" i="9"/>
  <c r="G16" i="9"/>
  <c r="D17" i="9"/>
  <c r="G17" i="9"/>
  <c r="B51" i="8"/>
  <c r="B52" i="8"/>
  <c r="B53" i="8"/>
  <c r="B54" i="8"/>
  <c r="B55" i="8"/>
  <c r="B56" i="8"/>
  <c r="B57" i="8"/>
  <c r="B60" i="8"/>
  <c r="B61" i="8"/>
  <c r="B83" i="8"/>
  <c r="B84" i="8"/>
  <c r="B85" i="8"/>
  <c r="B86" i="8"/>
  <c r="B87" i="8"/>
  <c r="B88" i="8"/>
  <c r="B91" i="8"/>
  <c r="B92" i="8"/>
  <c r="G8" i="1"/>
  <c r="G9" i="1"/>
  <c r="G10" i="1"/>
  <c r="G11" i="1"/>
  <c r="G12" i="1"/>
  <c r="G13" i="1"/>
  <c r="G15" i="1"/>
  <c r="G16" i="1"/>
  <c r="C17" i="1"/>
  <c r="G17" i="1"/>
  <c r="C18" i="1"/>
  <c r="G18" i="1"/>
  <c r="C19" i="1"/>
  <c r="G19" i="1"/>
  <c r="C20" i="1"/>
  <c r="G20" i="1" s="1"/>
  <c r="C21" i="1"/>
  <c r="G21" i="1"/>
  <c r="G22" i="1"/>
  <c r="G23" i="1"/>
  <c r="G24" i="1"/>
  <c r="G25" i="1"/>
  <c r="G26" i="1"/>
  <c r="G27" i="1"/>
  <c r="G28" i="1"/>
  <c r="G30" i="1"/>
  <c r="G31" i="1"/>
  <c r="G32" i="1"/>
  <c r="G33" i="1"/>
  <c r="G34" i="1"/>
  <c r="G35" i="1"/>
  <c r="G37" i="1"/>
  <c r="G38" i="1"/>
  <c r="G39" i="1"/>
  <c r="G40" i="1"/>
  <c r="G42" i="1"/>
  <c r="G43" i="1"/>
  <c r="G44" i="1"/>
  <c r="G45" i="1"/>
  <c r="G46" i="1"/>
  <c r="G48" i="1"/>
  <c r="G49" i="1"/>
  <c r="G51" i="1"/>
  <c r="G52" i="1"/>
  <c r="G53" i="1"/>
  <c r="G54" i="1"/>
  <c r="G55" i="1"/>
  <c r="G57" i="1"/>
  <c r="G59" i="1"/>
  <c r="G60" i="1"/>
  <c r="G62" i="1"/>
  <c r="J108" i="2"/>
  <c r="J95" i="2"/>
  <c r="J91" i="2"/>
  <c r="J107" i="2"/>
  <c r="J101" i="2"/>
  <c r="J111" i="2"/>
  <c r="J113" i="2"/>
  <c r="J87" i="2"/>
  <c r="J115" i="2"/>
  <c r="J103" i="2"/>
  <c r="J112" i="2"/>
  <c r="J84" i="2"/>
  <c r="J100" i="2"/>
  <c r="J94" i="2"/>
  <c r="J96" i="2"/>
  <c r="J106" i="2"/>
  <c r="J88" i="2"/>
  <c r="J92" i="2"/>
  <c r="L10" i="13"/>
  <c r="D10" i="13"/>
  <c r="L12" i="13"/>
  <c r="C8" i="13"/>
  <c r="M12" i="13"/>
  <c r="U11" i="13"/>
  <c r="V4" i="13"/>
  <c r="M5" i="13"/>
  <c r="U4" i="13"/>
  <c r="AE6" i="13"/>
  <c r="D4" i="13"/>
  <c r="D10" i="9"/>
  <c r="F452" i="11" s="1"/>
  <c r="H29" i="9"/>
  <c r="E453" i="11"/>
  <c r="P453" i="11" s="1"/>
  <c r="E23" i="5"/>
  <c r="E20" i="5"/>
  <c r="H249" i="11"/>
  <c r="H267" i="11"/>
  <c r="F12" i="13"/>
  <c r="O12" i="13"/>
  <c r="P12" i="13" s="1"/>
  <c r="AG12" i="13"/>
  <c r="AH12" i="13" s="1"/>
  <c r="C2" i="13"/>
  <c r="L2" i="13"/>
  <c r="H350" i="11"/>
  <c r="AG13" i="13"/>
  <c r="F28" i="9"/>
  <c r="H450" i="11"/>
  <c r="AD2" i="13"/>
  <c r="AE7" i="13"/>
  <c r="H75" i="11"/>
  <c r="H76" i="11" s="1"/>
  <c r="H121" i="11"/>
  <c r="H122" i="11"/>
  <c r="H107" i="11"/>
  <c r="H108" i="11"/>
  <c r="H235" i="11"/>
  <c r="H236" i="11" s="1"/>
  <c r="H11" i="11"/>
  <c r="H12" i="11"/>
  <c r="H153" i="11"/>
  <c r="H154" i="11" s="1"/>
  <c r="U7" i="13"/>
  <c r="J97" i="2"/>
  <c r="AD7" i="13"/>
  <c r="M11" i="13"/>
  <c r="K217" i="11"/>
  <c r="K73" i="11"/>
  <c r="K74" i="11"/>
  <c r="G325" i="11"/>
  <c r="H445" i="11"/>
  <c r="H339" i="11"/>
  <c r="G334" i="11"/>
  <c r="G346" i="11"/>
  <c r="H416" i="11"/>
  <c r="G343" i="11"/>
  <c r="H322" i="11"/>
  <c r="H320" i="11"/>
  <c r="G416" i="11"/>
  <c r="H342" i="11"/>
  <c r="H335" i="11"/>
  <c r="G440" i="11"/>
  <c r="H443" i="11"/>
  <c r="G323" i="11"/>
  <c r="G320" i="11"/>
  <c r="H420" i="11"/>
  <c r="G339" i="11"/>
  <c r="G443" i="11"/>
  <c r="H321" i="11"/>
  <c r="H438" i="11"/>
  <c r="G333" i="11"/>
  <c r="G327" i="11"/>
  <c r="H347" i="11"/>
  <c r="G335" i="11"/>
  <c r="G445" i="11"/>
  <c r="H325" i="11"/>
  <c r="G448" i="11"/>
  <c r="G431" i="11"/>
  <c r="H331" i="11"/>
  <c r="H336" i="11"/>
  <c r="H418" i="11"/>
  <c r="H442" i="11"/>
  <c r="G318" i="11"/>
  <c r="G322" i="11"/>
  <c r="H318" i="11"/>
  <c r="G342" i="11"/>
  <c r="G326" i="11"/>
  <c r="H323" i="11"/>
  <c r="H444" i="11"/>
  <c r="H419" i="11"/>
  <c r="G331" i="11"/>
  <c r="G332" i="11"/>
  <c r="H424" i="11"/>
  <c r="H329" i="11"/>
  <c r="G341" i="11"/>
  <c r="H340" i="11"/>
  <c r="G315" i="11"/>
  <c r="H422" i="11"/>
  <c r="G427" i="11"/>
  <c r="G324" i="11"/>
  <c r="H430" i="11"/>
  <c r="H328" i="11"/>
  <c r="G439" i="11"/>
  <c r="H333" i="11"/>
  <c r="G317" i="11"/>
  <c r="H436" i="11"/>
  <c r="H432" i="11"/>
  <c r="G433" i="11"/>
  <c r="H317" i="11"/>
  <c r="G425" i="11"/>
  <c r="G447" i="11"/>
  <c r="H341" i="11"/>
  <c r="G437" i="11"/>
  <c r="G438" i="11"/>
  <c r="G428" i="11"/>
  <c r="G429" i="11"/>
  <c r="H449" i="11"/>
  <c r="G423" i="11"/>
  <c r="H421" i="11"/>
  <c r="G419" i="11"/>
  <c r="G321" i="11"/>
  <c r="G422" i="11"/>
  <c r="H346" i="11"/>
  <c r="G340" i="11"/>
  <c r="G345" i="11"/>
  <c r="H417" i="11"/>
  <c r="H427" i="11"/>
  <c r="H316" i="11"/>
  <c r="H426" i="11"/>
  <c r="G328" i="11"/>
  <c r="G338" i="11"/>
  <c r="H429" i="11"/>
  <c r="H338" i="11"/>
  <c r="H439" i="11"/>
  <c r="G446" i="11"/>
  <c r="G436" i="11"/>
  <c r="H431" i="11"/>
  <c r="G336" i="11"/>
  <c r="G441" i="11"/>
  <c r="H319" i="11"/>
  <c r="G418" i="11"/>
  <c r="H437" i="11"/>
  <c r="G330" i="11"/>
  <c r="H324" i="11"/>
  <c r="G426" i="11"/>
  <c r="G442" i="11"/>
  <c r="G348" i="11"/>
  <c r="G420" i="11"/>
  <c r="H441" i="11"/>
  <c r="H440" i="11"/>
  <c r="H332" i="11"/>
  <c r="H348" i="11"/>
  <c r="G432" i="11"/>
  <c r="H315" i="11"/>
  <c r="G417" i="11"/>
  <c r="G435" i="11"/>
  <c r="H344" i="11"/>
  <c r="G316" i="11"/>
  <c r="H330" i="11"/>
  <c r="H447" i="11"/>
  <c r="G337" i="11"/>
  <c r="H343" i="11"/>
  <c r="G347" i="11"/>
  <c r="H433" i="11"/>
  <c r="G319" i="11"/>
  <c r="G430" i="11"/>
  <c r="G424" i="11"/>
  <c r="H337" i="11"/>
  <c r="H326" i="11"/>
  <c r="G329" i="11"/>
  <c r="G421" i="11"/>
  <c r="H423" i="11"/>
  <c r="H327" i="11"/>
  <c r="H345" i="11"/>
  <c r="H435" i="11"/>
  <c r="G434" i="11"/>
  <c r="H434" i="11"/>
  <c r="H425" i="11"/>
  <c r="H446" i="11"/>
  <c r="G344" i="11"/>
  <c r="H448" i="11"/>
  <c r="G449" i="11"/>
  <c r="G444" i="11"/>
  <c r="H334" i="11"/>
  <c r="H428" i="11"/>
  <c r="I29" i="9"/>
  <c r="B48" i="13"/>
  <c r="AC48" i="13" s="1"/>
  <c r="B49" i="13"/>
  <c r="K49" i="13" s="1"/>
  <c r="F38" i="9"/>
  <c r="U5" i="13"/>
  <c r="M6" i="13"/>
  <c r="J57" i="11"/>
  <c r="J58" i="11" s="1"/>
  <c r="I58" i="11" s="1"/>
  <c r="AD8" i="13"/>
  <c r="J75" i="11"/>
  <c r="J76" i="11"/>
  <c r="C11" i="13"/>
  <c r="J235" i="11"/>
  <c r="I235" i="11" s="1"/>
  <c r="O13" i="13"/>
  <c r="J43" i="11"/>
  <c r="I43" i="11" s="1"/>
  <c r="AD4" i="13"/>
  <c r="L4" i="13"/>
  <c r="M4" i="13"/>
  <c r="B38" i="13"/>
  <c r="T38" i="13"/>
  <c r="T40" i="13"/>
  <c r="G107" i="11"/>
  <c r="G108" i="11" s="1"/>
  <c r="F108" i="11" s="1"/>
  <c r="G201" i="11"/>
  <c r="F201" i="11" s="1"/>
  <c r="G219" i="11"/>
  <c r="G220" i="11" s="1"/>
  <c r="F220" i="11" s="1"/>
  <c r="G8" i="2"/>
  <c r="G9" i="2" s="1"/>
  <c r="G118" i="2"/>
  <c r="G116" i="2"/>
  <c r="F116" i="2"/>
  <c r="E116" i="2" s="1"/>
  <c r="O116" i="2" s="1"/>
  <c r="G10" i="2"/>
  <c r="F10" i="2"/>
  <c r="T49" i="13"/>
  <c r="AC38" i="13"/>
  <c r="N38" i="16"/>
  <c r="L52" i="16"/>
  <c r="N58" i="16"/>
  <c r="N40" i="16"/>
  <c r="N56" i="16"/>
  <c r="L27" i="16"/>
  <c r="L26" i="16"/>
  <c r="N74" i="16"/>
  <c r="N52" i="16"/>
  <c r="L79" i="16"/>
  <c r="B35" i="13"/>
  <c r="K35" i="13" s="1"/>
  <c r="R35" i="13" s="1"/>
  <c r="B62" i="13"/>
  <c r="AC62" i="13" s="1"/>
  <c r="AJ62" i="13" s="1"/>
  <c r="K40" i="13"/>
  <c r="AC40" i="13"/>
  <c r="K218" i="11"/>
  <c r="J105" i="11"/>
  <c r="I105" i="11"/>
  <c r="K235" i="11"/>
  <c r="H169" i="11"/>
  <c r="H201" i="11"/>
  <c r="H202" i="11" s="1"/>
  <c r="J85" i="2"/>
  <c r="J114" i="2"/>
  <c r="J102" i="2"/>
  <c r="H28" i="9"/>
  <c r="J450" i="11" s="1"/>
  <c r="H185" i="11"/>
  <c r="H186" i="11" s="1"/>
  <c r="J83" i="2"/>
  <c r="J82" i="2" s="1"/>
  <c r="J93" i="2"/>
  <c r="H123" i="11"/>
  <c r="J105" i="2"/>
  <c r="J109" i="2"/>
  <c r="D9" i="9"/>
  <c r="F451" i="11"/>
  <c r="N67" i="16"/>
  <c r="H217" i="11"/>
  <c r="J89" i="2"/>
  <c r="J110" i="2"/>
  <c r="J90" i="2"/>
  <c r="K43" i="11"/>
  <c r="K44" i="11" s="1"/>
  <c r="J98" i="2"/>
  <c r="J86" i="2"/>
  <c r="C17" i="9"/>
  <c r="G249" i="11"/>
  <c r="G258" i="11" s="1"/>
  <c r="G266" i="11" s="1"/>
  <c r="K20" i="13"/>
  <c r="AD9" i="13"/>
  <c r="AE9" i="13"/>
  <c r="B21" i="13"/>
  <c r="K21" i="13" s="1"/>
  <c r="K219" i="11"/>
  <c r="K220" i="11" s="1"/>
  <c r="K169" i="11"/>
  <c r="K170" i="11"/>
  <c r="K59" i="11"/>
  <c r="K233" i="11"/>
  <c r="K234" i="11" s="1"/>
  <c r="K155" i="11"/>
  <c r="K137" i="11"/>
  <c r="K75" i="11"/>
  <c r="K76" i="11" s="1"/>
  <c r="I76" i="11" s="1"/>
  <c r="K203" i="11"/>
  <c r="K123" i="11"/>
  <c r="K124" i="11" s="1"/>
  <c r="K9" i="11"/>
  <c r="K201" i="11"/>
  <c r="K202" i="11" s="1"/>
  <c r="K121" i="11"/>
  <c r="K122" i="11"/>
  <c r="K91" i="11"/>
  <c r="K187" i="11"/>
  <c r="K105" i="11"/>
  <c r="K41" i="11"/>
  <c r="K42" i="11" s="1"/>
  <c r="K25" i="11"/>
  <c r="K26" i="11"/>
  <c r="K11" i="11"/>
  <c r="K57" i="11"/>
  <c r="K27" i="11"/>
  <c r="K28" i="11"/>
  <c r="T58" i="13"/>
  <c r="K139" i="11"/>
  <c r="K89" i="11"/>
  <c r="K90" i="11" s="1"/>
  <c r="C7" i="13"/>
  <c r="D7" i="13"/>
  <c r="K185" i="11"/>
  <c r="K107" i="11"/>
  <c r="K108" i="11" s="1"/>
  <c r="V8" i="13"/>
  <c r="U9" i="13"/>
  <c r="V9" i="13"/>
  <c r="H139" i="11"/>
  <c r="H233" i="11"/>
  <c r="H25" i="11"/>
  <c r="H26" i="11" s="1"/>
  <c r="H187" i="11"/>
  <c r="H57" i="11"/>
  <c r="H58" i="11" s="1"/>
  <c r="V6" i="13"/>
  <c r="F29" i="9"/>
  <c r="H268" i="11"/>
  <c r="H43" i="11"/>
  <c r="H44" i="11" s="1"/>
  <c r="H105" i="11"/>
  <c r="H106" i="11" s="1"/>
  <c r="C9" i="13"/>
  <c r="H171" i="11"/>
  <c r="H172" i="11"/>
  <c r="H203" i="11"/>
  <c r="H204" i="11" s="1"/>
  <c r="AE11" i="13"/>
  <c r="H219" i="11"/>
  <c r="H155" i="11"/>
  <c r="H156" i="11" s="1"/>
  <c r="H89" i="11"/>
  <c r="H90" i="11"/>
  <c r="H9" i="11"/>
  <c r="H41" i="11"/>
  <c r="H42" i="11"/>
  <c r="H59" i="11"/>
  <c r="H60" i="11" s="1"/>
  <c r="H137" i="11"/>
  <c r="H91" i="11"/>
  <c r="H92" i="11"/>
  <c r="K236" i="11"/>
  <c r="H218" i="11"/>
  <c r="T62" i="13"/>
  <c r="AA62" i="13" s="1"/>
  <c r="K62" i="13"/>
  <c r="R62" i="13" s="1"/>
  <c r="H10" i="11"/>
  <c r="K10" i="11"/>
  <c r="K186" i="11"/>
  <c r="H220" i="11"/>
  <c r="K204" i="11"/>
  <c r="H188" i="11"/>
  <c r="K58" i="11"/>
  <c r="K12" i="11"/>
  <c r="K138" i="11"/>
  <c r="K156" i="11"/>
  <c r="AC21" i="13"/>
  <c r="AJ21" i="13" s="1"/>
  <c r="K140" i="11"/>
  <c r="K106" i="11"/>
  <c r="K60" i="11"/>
  <c r="H234" i="11"/>
  <c r="K188" i="11"/>
  <c r="H138" i="11"/>
  <c r="H140" i="11"/>
  <c r="K92" i="11"/>
  <c r="K52" i="13"/>
  <c r="R52" i="13" s="1"/>
  <c r="AC26" i="13"/>
  <c r="K26" i="13"/>
  <c r="I26" i="13"/>
  <c r="T26" i="13"/>
  <c r="J123" i="11"/>
  <c r="J169" i="11"/>
  <c r="J117" i="2"/>
  <c r="I117" i="2" s="1"/>
  <c r="M9" i="13"/>
  <c r="G267" i="11"/>
  <c r="J59" i="11"/>
  <c r="N80" i="16"/>
  <c r="J9" i="11"/>
  <c r="F13" i="13"/>
  <c r="J106" i="11"/>
  <c r="I106" i="11" s="1"/>
  <c r="N68" i="16"/>
  <c r="J153" i="11"/>
  <c r="N18" i="16"/>
  <c r="H383" i="11"/>
  <c r="J201" i="11"/>
  <c r="J91" i="11"/>
  <c r="J92" i="11"/>
  <c r="I92" i="11" s="1"/>
  <c r="J233" i="11"/>
  <c r="J89" i="11"/>
  <c r="J10" i="2"/>
  <c r="J236" i="11"/>
  <c r="J187" i="11"/>
  <c r="J11" i="11"/>
  <c r="J27" i="11"/>
  <c r="J139" i="11"/>
  <c r="N76" i="16"/>
  <c r="G84" i="17"/>
  <c r="AD12" i="13"/>
  <c r="M8" i="13"/>
  <c r="J104" i="2"/>
  <c r="J121" i="11"/>
  <c r="H349" i="11"/>
  <c r="J73" i="11"/>
  <c r="J203" i="11"/>
  <c r="J258" i="11"/>
  <c r="J266" i="11"/>
  <c r="N66" i="16"/>
  <c r="J155" i="11"/>
  <c r="J217" i="11"/>
  <c r="J218" i="11" s="1"/>
  <c r="J107" i="11"/>
  <c r="J108" i="11"/>
  <c r="I108" i="11" s="1"/>
  <c r="J414" i="11"/>
  <c r="J219" i="11"/>
  <c r="N16" i="16"/>
  <c r="J25" i="11"/>
  <c r="J185" i="11"/>
  <c r="J41" i="11"/>
  <c r="J42" i="11" s="1"/>
  <c r="I42" i="11" s="1"/>
  <c r="G235" i="11"/>
  <c r="F235" i="11" s="1"/>
  <c r="E235" i="11" s="1"/>
  <c r="P235" i="11" s="1"/>
  <c r="G35" i="16"/>
  <c r="G36" i="16" s="1"/>
  <c r="J137" i="11"/>
  <c r="T47" i="13"/>
  <c r="T37" i="13"/>
  <c r="K63" i="13"/>
  <c r="R63" i="13"/>
  <c r="T63" i="13"/>
  <c r="AC63" i="13"/>
  <c r="K45" i="13"/>
  <c r="T45" i="13"/>
  <c r="AC45" i="13"/>
  <c r="H170" i="11"/>
  <c r="T35" i="13"/>
  <c r="AA35" i="13" s="1"/>
  <c r="K38" i="13"/>
  <c r="X13" i="13"/>
  <c r="U10" i="13"/>
  <c r="C16" i="9"/>
  <c r="C15" i="9" s="1"/>
  <c r="V10" i="13"/>
  <c r="J309" i="11"/>
  <c r="J387" i="11"/>
  <c r="J312" i="11"/>
  <c r="AA49" i="13"/>
  <c r="J413" i="11"/>
  <c r="J375" i="11"/>
  <c r="J385" i="11"/>
  <c r="J307" i="11"/>
  <c r="I217" i="11"/>
  <c r="H258" i="11"/>
  <c r="G11" i="11"/>
  <c r="X12" i="13"/>
  <c r="Y12" i="13" s="1"/>
  <c r="J119" i="2"/>
  <c r="I119" i="2" s="1"/>
  <c r="N81" i="16"/>
  <c r="J311" i="11"/>
  <c r="J274" i="11"/>
  <c r="I218" i="11"/>
  <c r="I49" i="13"/>
  <c r="I75" i="11"/>
  <c r="J308" i="11"/>
  <c r="J405" i="11"/>
  <c r="D12" i="13"/>
  <c r="J398" i="11"/>
  <c r="J279" i="11"/>
  <c r="J395" i="11"/>
  <c r="J285" i="11"/>
  <c r="J276" i="11"/>
  <c r="J313" i="11"/>
  <c r="J410" i="11"/>
  <c r="J394" i="11"/>
  <c r="G137" i="11"/>
  <c r="J282" i="11"/>
  <c r="H314" i="11"/>
  <c r="AA58" i="13"/>
  <c r="J396" i="11"/>
  <c r="J273" i="11"/>
  <c r="I236" i="11"/>
  <c r="AC35" i="13"/>
  <c r="AJ35" i="13" s="1"/>
  <c r="I62" i="9"/>
  <c r="J281" i="11"/>
  <c r="F118" i="2"/>
  <c r="W4" i="13"/>
  <c r="I10" i="2"/>
  <c r="E10" i="2"/>
  <c r="O10" i="2" s="1"/>
  <c r="J278" i="11"/>
  <c r="B29" i="13"/>
  <c r="H278" i="11"/>
  <c r="F267" i="11"/>
  <c r="J293" i="11"/>
  <c r="J291" i="11"/>
  <c r="J400" i="11"/>
  <c r="H403" i="11"/>
  <c r="H359" i="11"/>
  <c r="H367" i="11" s="1"/>
  <c r="H368" i="11"/>
  <c r="T20" i="13"/>
  <c r="AC20" i="13"/>
  <c r="H310" i="11"/>
  <c r="B61" i="13"/>
  <c r="J295" i="11"/>
  <c r="J376" i="11"/>
  <c r="J298" i="11"/>
  <c r="R38" i="13"/>
  <c r="H374" i="11"/>
  <c r="AC30" i="13"/>
  <c r="T30" i="13"/>
  <c r="K30" i="13"/>
  <c r="I30" i="13"/>
  <c r="T39" i="13"/>
  <c r="AC39" i="13"/>
  <c r="I46" i="13"/>
  <c r="AC46" i="13"/>
  <c r="T46" i="13"/>
  <c r="J302" i="11"/>
  <c r="J406" i="11"/>
  <c r="J290" i="11"/>
  <c r="J314" i="11"/>
  <c r="J286" i="11"/>
  <c r="J287" i="11"/>
  <c r="J304" i="11"/>
  <c r="J297" i="11"/>
  <c r="J294" i="11"/>
  <c r="J299" i="11"/>
  <c r="J373" i="11"/>
  <c r="J296" i="11"/>
  <c r="J271" i="11"/>
  <c r="AA38" i="13"/>
  <c r="H65" i="9" s="1"/>
  <c r="AA47" i="13"/>
  <c r="J391" i="11"/>
  <c r="AA45" i="13"/>
  <c r="H72" i="9" s="1"/>
  <c r="J384" i="11"/>
  <c r="J379" i="11"/>
  <c r="J382" i="11"/>
  <c r="J388" i="11"/>
  <c r="J392" i="11"/>
  <c r="J288" i="11"/>
  <c r="J399" i="11"/>
  <c r="U12" i="13"/>
  <c r="J389" i="11"/>
  <c r="J381" i="11"/>
  <c r="J300" i="11"/>
  <c r="AA63" i="13"/>
  <c r="J292" i="11"/>
  <c r="J303" i="11"/>
  <c r="J280" i="11"/>
  <c r="V12" i="13"/>
  <c r="V14" i="13"/>
  <c r="H32" i="9" s="1"/>
  <c r="AA37" i="13"/>
  <c r="J275" i="11"/>
  <c r="J404" i="11"/>
  <c r="J408" i="11"/>
  <c r="L80" i="16"/>
  <c r="L76" i="16"/>
  <c r="L68" i="16"/>
  <c r="F249" i="11"/>
  <c r="J377" i="11"/>
  <c r="J397" i="11"/>
  <c r="H312" i="11"/>
  <c r="G119" i="2"/>
  <c r="F119" i="2" s="1"/>
  <c r="G117" i="2"/>
  <c r="F117" i="2" s="1"/>
  <c r="E117" i="2" s="1"/>
  <c r="O117" i="2" s="1"/>
  <c r="I118" i="2"/>
  <c r="AI7" i="13"/>
  <c r="AJ7" i="13" s="1"/>
  <c r="AI6" i="13"/>
  <c r="AJ6" i="13"/>
  <c r="AI9" i="13"/>
  <c r="AJ9" i="13" s="1"/>
  <c r="AI11" i="13"/>
  <c r="AJ11" i="13"/>
  <c r="AI8" i="13"/>
  <c r="AJ8" i="13" s="1"/>
  <c r="AI5" i="13"/>
  <c r="AJ5" i="13" s="1"/>
  <c r="AI10" i="13"/>
  <c r="AJ10" i="13" s="1"/>
  <c r="H272" i="11"/>
  <c r="B23" i="13"/>
  <c r="AJ59" i="13"/>
  <c r="J172" i="11"/>
  <c r="I172" i="11" s="1"/>
  <c r="I171" i="11"/>
  <c r="I41" i="13"/>
  <c r="T41" i="13"/>
  <c r="K41" i="13"/>
  <c r="AC41" i="13"/>
  <c r="I55" i="13"/>
  <c r="AC55" i="13"/>
  <c r="T55" i="13"/>
  <c r="K55" i="13"/>
  <c r="K33" i="13"/>
  <c r="T33" i="13"/>
  <c r="AC33" i="13"/>
  <c r="I33" i="13"/>
  <c r="J305" i="11"/>
  <c r="H305" i="11"/>
  <c r="B56" i="13"/>
  <c r="J372" i="11"/>
  <c r="J284" i="11"/>
  <c r="J301" i="11"/>
  <c r="I52" i="13"/>
  <c r="I37" i="13"/>
  <c r="I60" i="13"/>
  <c r="D6" i="13"/>
  <c r="I25" i="13"/>
  <c r="I45" i="13"/>
  <c r="C6" i="13"/>
  <c r="C14" i="13"/>
  <c r="E20" i="9" s="1"/>
  <c r="I48" i="13"/>
  <c r="I47" i="13"/>
  <c r="I38" i="13"/>
  <c r="I63" i="13"/>
  <c r="I35" i="13"/>
  <c r="T57" i="13"/>
  <c r="K57" i="13"/>
  <c r="AC57" i="13"/>
  <c r="AA26" i="13"/>
  <c r="H53" i="9" s="1"/>
  <c r="I58" i="13"/>
  <c r="K58" i="13"/>
  <c r="AC58" i="13"/>
  <c r="H9" i="2"/>
  <c r="F9" i="2"/>
  <c r="E9" i="2" s="1"/>
  <c r="O9" i="2" s="1"/>
  <c r="F8" i="2"/>
  <c r="E8" i="2" s="1"/>
  <c r="O8" i="2" s="1"/>
  <c r="AC43" i="13"/>
  <c r="I43" i="13"/>
  <c r="T43" i="13"/>
  <c r="K43" i="13"/>
  <c r="I59" i="13"/>
  <c r="K59" i="13"/>
  <c r="T59" i="13"/>
  <c r="G369" i="11"/>
  <c r="E28" i="9"/>
  <c r="G350" i="11"/>
  <c r="E29" i="9"/>
  <c r="G268" i="11" s="1"/>
  <c r="F268" i="11" s="1"/>
  <c r="H124" i="11"/>
  <c r="H384" i="11"/>
  <c r="H275" i="11"/>
  <c r="H285" i="11"/>
  <c r="H380" i="11"/>
  <c r="H281" i="11"/>
  <c r="H389" i="11"/>
  <c r="H377" i="11"/>
  <c r="H297" i="11"/>
  <c r="H291" i="11"/>
  <c r="H379" i="11"/>
  <c r="H298" i="11"/>
  <c r="H397" i="11"/>
  <c r="R26" i="13"/>
  <c r="F53" i="9" s="1"/>
  <c r="H381" i="11"/>
  <c r="H411" i="11"/>
  <c r="H286" i="11"/>
  <c r="H307" i="11"/>
  <c r="H288" i="11"/>
  <c r="H284" i="11"/>
  <c r="R45" i="13"/>
  <c r="F72" i="9"/>
  <c r="H274" i="11"/>
  <c r="H406" i="11"/>
  <c r="H382" i="11"/>
  <c r="H387" i="11"/>
  <c r="H292" i="11"/>
  <c r="H303" i="11"/>
  <c r="H280" i="11"/>
  <c r="H401" i="11"/>
  <c r="H299" i="11"/>
  <c r="H413" i="11"/>
  <c r="H405" i="11"/>
  <c r="H287" i="11"/>
  <c r="H279" i="11"/>
  <c r="H388" i="11"/>
  <c r="H385" i="11"/>
  <c r="H294" i="11"/>
  <c r="H375" i="11"/>
  <c r="H376" i="11"/>
  <c r="H396" i="11"/>
  <c r="H408" i="11"/>
  <c r="H301" i="11"/>
  <c r="R49" i="13"/>
  <c r="F76" i="9" s="1"/>
  <c r="H400" i="11"/>
  <c r="H302" i="11"/>
  <c r="H373" i="11"/>
  <c r="H372" i="11"/>
  <c r="H395" i="11"/>
  <c r="H308" i="11"/>
  <c r="H412" i="11"/>
  <c r="H300" i="11"/>
  <c r="F300" i="11" s="1"/>
  <c r="H392" i="11"/>
  <c r="H283" i="11"/>
  <c r="H311" i="11"/>
  <c r="M7" i="13"/>
  <c r="H304" i="11"/>
  <c r="H273" i="11"/>
  <c r="H393" i="11"/>
  <c r="H295" i="11"/>
  <c r="H391" i="11"/>
  <c r="H414" i="11"/>
  <c r="H394" i="11"/>
  <c r="H282" i="11"/>
  <c r="H293" i="11"/>
  <c r="H276" i="11"/>
  <c r="H409" i="11"/>
  <c r="H404" i="11"/>
  <c r="L7" i="13"/>
  <c r="L14" i="13"/>
  <c r="F20" i="9" s="1"/>
  <c r="H271" i="11"/>
  <c r="H415" i="11"/>
  <c r="H296" i="11"/>
  <c r="H313" i="11"/>
  <c r="H290" i="11"/>
  <c r="H402" i="11"/>
  <c r="K27" i="13"/>
  <c r="T27" i="13"/>
  <c r="I27" i="13"/>
  <c r="AC27" i="13"/>
  <c r="T44" i="13"/>
  <c r="AA44" i="13" s="1"/>
  <c r="I44" i="13"/>
  <c r="K44" i="13"/>
  <c r="R44" i="13" s="1"/>
  <c r="AC44" i="13"/>
  <c r="AJ44" i="13"/>
  <c r="K51" i="13"/>
  <c r="T51" i="13"/>
  <c r="I51" i="13"/>
  <c r="AC51" i="13"/>
  <c r="AJ51" i="13" s="1"/>
  <c r="H386" i="11"/>
  <c r="J386" i="11"/>
  <c r="H398" i="11"/>
  <c r="H410" i="11"/>
  <c r="I451" i="11"/>
  <c r="E451" i="11" s="1"/>
  <c r="P451" i="11"/>
  <c r="C9" i="9"/>
  <c r="J380" i="11"/>
  <c r="J310" i="11"/>
  <c r="J411" i="11"/>
  <c r="H399" i="11"/>
  <c r="C31" i="5"/>
  <c r="AJ48" i="13"/>
  <c r="I75" i="9"/>
  <c r="AJ45" i="13"/>
  <c r="I72" i="9" s="1"/>
  <c r="AJ63" i="13"/>
  <c r="I90" i="9" s="1"/>
  <c r="AJ52" i="13"/>
  <c r="I79" i="9" s="1"/>
  <c r="AJ47" i="13"/>
  <c r="I74" i="9" s="1"/>
  <c r="AD10" i="13"/>
  <c r="AJ26" i="13"/>
  <c r="I53" i="9"/>
  <c r="AE10" i="13"/>
  <c r="AJ40" i="13"/>
  <c r="I67" i="9" s="1"/>
  <c r="G4" i="13"/>
  <c r="J412" i="11"/>
  <c r="AJ38" i="13"/>
  <c r="I65" i="9" s="1"/>
  <c r="J383" i="11"/>
  <c r="J403" i="11"/>
  <c r="M55" i="16"/>
  <c r="G22" i="16"/>
  <c r="G44" i="17" s="1"/>
  <c r="N34" i="16"/>
  <c r="G80" i="17"/>
  <c r="L67" i="16"/>
  <c r="N55" i="16"/>
  <c r="J202" i="11"/>
  <c r="I202" i="11" s="1"/>
  <c r="I201" i="11"/>
  <c r="E201" i="11" s="1"/>
  <c r="I91" i="11"/>
  <c r="I169" i="11"/>
  <c r="J170" i="11"/>
  <c r="I170" i="11" s="1"/>
  <c r="J124" i="11"/>
  <c r="I124" i="11" s="1"/>
  <c r="I123" i="11"/>
  <c r="AI4" i="13"/>
  <c r="AJ4" i="13"/>
  <c r="I107" i="11"/>
  <c r="J154" i="11"/>
  <c r="I154" i="11" s="1"/>
  <c r="I153" i="11"/>
  <c r="J10" i="11"/>
  <c r="I10" i="11" s="1"/>
  <c r="I9" i="11"/>
  <c r="J248" i="11"/>
  <c r="I41" i="11"/>
  <c r="I73" i="11"/>
  <c r="J74" i="11"/>
  <c r="I74" i="11" s="1"/>
  <c r="J186" i="11"/>
  <c r="I186" i="11" s="1"/>
  <c r="I185" i="11"/>
  <c r="J138" i="11"/>
  <c r="I138" i="11"/>
  <c r="I137" i="11"/>
  <c r="J26" i="11"/>
  <c r="I26" i="11"/>
  <c r="I25" i="11"/>
  <c r="J156" i="11"/>
  <c r="I156" i="11" s="1"/>
  <c r="I155" i="11"/>
  <c r="J60" i="11"/>
  <c r="I60" i="11"/>
  <c r="I59" i="11"/>
  <c r="J140" i="11"/>
  <c r="I140" i="11"/>
  <c r="I139" i="11"/>
  <c r="J90" i="11"/>
  <c r="I90" i="11" s="1"/>
  <c r="I89" i="11"/>
  <c r="I233" i="11"/>
  <c r="J234" i="11"/>
  <c r="I234" i="11"/>
  <c r="J220" i="11"/>
  <c r="I220" i="11"/>
  <c r="E220" i="11" s="1"/>
  <c r="P220" i="11" s="1"/>
  <c r="I219" i="11"/>
  <c r="J122" i="11"/>
  <c r="I122" i="11"/>
  <c r="I121" i="11"/>
  <c r="I27" i="11"/>
  <c r="J28" i="11"/>
  <c r="I28" i="11"/>
  <c r="J12" i="11"/>
  <c r="I12" i="11"/>
  <c r="I11" i="11"/>
  <c r="H6" i="13"/>
  <c r="I6" i="13" s="1"/>
  <c r="E118" i="2"/>
  <c r="O118" i="2" s="1"/>
  <c r="I203" i="11"/>
  <c r="J204" i="11"/>
  <c r="I204" i="11"/>
  <c r="J188" i="11"/>
  <c r="I188" i="11" s="1"/>
  <c r="I187" i="11"/>
  <c r="G138" i="11"/>
  <c r="F138" i="11"/>
  <c r="E138" i="11" s="1"/>
  <c r="P138" i="11" s="1"/>
  <c r="F137" i="11"/>
  <c r="E137" i="11"/>
  <c r="E108" i="11"/>
  <c r="P108" i="11"/>
  <c r="H4" i="13"/>
  <c r="Y4" i="13"/>
  <c r="Z4" i="13"/>
  <c r="G12" i="11"/>
  <c r="F12" i="11" s="1"/>
  <c r="F11" i="11"/>
  <c r="E11" i="11"/>
  <c r="H266" i="11"/>
  <c r="F266" i="11"/>
  <c r="F258" i="11"/>
  <c r="H226" i="11"/>
  <c r="H227" i="11" s="1"/>
  <c r="H84" i="11"/>
  <c r="H85" i="11" s="1"/>
  <c r="H178" i="11"/>
  <c r="H179" i="11" s="1"/>
  <c r="H228" i="11"/>
  <c r="H229" i="11" s="1"/>
  <c r="H196" i="11"/>
  <c r="H197" i="11" s="1"/>
  <c r="H34" i="11"/>
  <c r="H35" i="11"/>
  <c r="H130" i="11"/>
  <c r="H131" i="11" s="1"/>
  <c r="H20" i="11"/>
  <c r="H21" i="11" s="1"/>
  <c r="H66" i="11"/>
  <c r="H67" i="11" s="1"/>
  <c r="H194" i="11"/>
  <c r="H195" i="11" s="1"/>
  <c r="H180" i="11"/>
  <c r="H181" i="11"/>
  <c r="H162" i="11"/>
  <c r="H163" i="11" s="1"/>
  <c r="H18" i="11"/>
  <c r="H19" i="11" s="1"/>
  <c r="H50" i="11"/>
  <c r="H51" i="11" s="1"/>
  <c r="H98" i="11"/>
  <c r="H99" i="11" s="1"/>
  <c r="H242" i="11"/>
  <c r="H243" i="11" s="1"/>
  <c r="H212" i="11"/>
  <c r="H213" i="11"/>
  <c r="H146" i="11"/>
  <c r="H147" i="11" s="1"/>
  <c r="H164" i="11"/>
  <c r="H165" i="11" s="1"/>
  <c r="H148" i="11"/>
  <c r="H149" i="11" s="1"/>
  <c r="H100" i="11"/>
  <c r="H101" i="11" s="1"/>
  <c r="H132" i="11"/>
  <c r="H133" i="11" s="1"/>
  <c r="G20" i="11"/>
  <c r="G228" i="11"/>
  <c r="AA27" i="13"/>
  <c r="H54" i="9" s="1"/>
  <c r="R59" i="13"/>
  <c r="T56" i="13"/>
  <c r="K56" i="13"/>
  <c r="AC56" i="13"/>
  <c r="I56" i="13"/>
  <c r="I29" i="13"/>
  <c r="K29" i="13"/>
  <c r="T29" i="13"/>
  <c r="AC29" i="13"/>
  <c r="R27" i="13"/>
  <c r="F54" i="9"/>
  <c r="AJ39" i="13"/>
  <c r="R43" i="13"/>
  <c r="AJ57" i="13"/>
  <c r="I84" i="9"/>
  <c r="R55" i="13"/>
  <c r="F82" i="9"/>
  <c r="AA39" i="13"/>
  <c r="AA43" i="13"/>
  <c r="AJ58" i="13"/>
  <c r="I85" i="9" s="1"/>
  <c r="AA55" i="13"/>
  <c r="AE18" i="13"/>
  <c r="I36" i="9" s="1"/>
  <c r="AE14" i="13"/>
  <c r="I32" i="9" s="1"/>
  <c r="AE16" i="13"/>
  <c r="I34" i="9" s="1"/>
  <c r="AE17" i="13"/>
  <c r="I35" i="9"/>
  <c r="AE15" i="13"/>
  <c r="I33" i="9" s="1"/>
  <c r="AE13" i="13"/>
  <c r="AE19" i="13"/>
  <c r="I37" i="9" s="1"/>
  <c r="AA51" i="13"/>
  <c r="H78" i="9"/>
  <c r="R58" i="13"/>
  <c r="F85" i="9"/>
  <c r="AJ33" i="13"/>
  <c r="I60" i="9" s="1"/>
  <c r="AJ55" i="13"/>
  <c r="I82" i="9"/>
  <c r="R51" i="13"/>
  <c r="F78" i="9"/>
  <c r="AJ43" i="13"/>
  <c r="AA33" i="13"/>
  <c r="H60" i="9"/>
  <c r="AC23" i="13"/>
  <c r="I23" i="13"/>
  <c r="K23" i="13"/>
  <c r="R23" i="13" s="1"/>
  <c r="T23" i="13"/>
  <c r="H7" i="13"/>
  <c r="I7" i="13"/>
  <c r="H5" i="13"/>
  <c r="I5" i="13" s="1"/>
  <c r="R33" i="13"/>
  <c r="F60" i="9"/>
  <c r="AJ41" i="13"/>
  <c r="I68" i="9"/>
  <c r="R30" i="13"/>
  <c r="K61" i="13"/>
  <c r="AC61" i="13"/>
  <c r="T61" i="13"/>
  <c r="I61" i="13"/>
  <c r="H8" i="13"/>
  <c r="I8" i="13" s="1"/>
  <c r="F369" i="11"/>
  <c r="F350" i="11"/>
  <c r="G359" i="11"/>
  <c r="F359" i="11" s="1"/>
  <c r="G367" i="11"/>
  <c r="F367" i="11" s="1"/>
  <c r="G368" i="11"/>
  <c r="F368" i="11"/>
  <c r="R41" i="13"/>
  <c r="F68" i="9" s="1"/>
  <c r="U14" i="13"/>
  <c r="H20" i="9"/>
  <c r="U13" i="13"/>
  <c r="H19" i="9"/>
  <c r="AA30" i="13"/>
  <c r="H57" i="9" s="1"/>
  <c r="G393" i="11"/>
  <c r="F393" i="11"/>
  <c r="G402" i="11"/>
  <c r="F402" i="11" s="1"/>
  <c r="G414" i="11"/>
  <c r="F414" i="11"/>
  <c r="G379" i="11"/>
  <c r="F379" i="11" s="1"/>
  <c r="G279" i="11"/>
  <c r="F279" i="11"/>
  <c r="G292" i="11"/>
  <c r="F292" i="11" s="1"/>
  <c r="G385" i="11"/>
  <c r="F385" i="11"/>
  <c r="G272" i="11"/>
  <c r="F272" i="11" s="1"/>
  <c r="G313" i="11"/>
  <c r="F313" i="11"/>
  <c r="G413" i="11"/>
  <c r="F413" i="11" s="1"/>
  <c r="G295" i="11"/>
  <c r="F295" i="11" s="1"/>
  <c r="G396" i="11"/>
  <c r="F396" i="11" s="1"/>
  <c r="G394" i="11"/>
  <c r="F394" i="11"/>
  <c r="G281" i="11"/>
  <c r="F281" i="11" s="1"/>
  <c r="G277" i="11"/>
  <c r="G376" i="11"/>
  <c r="F376" i="11"/>
  <c r="G410" i="11"/>
  <c r="F410" i="11"/>
  <c r="G304" i="11"/>
  <c r="F304" i="11"/>
  <c r="G375" i="11"/>
  <c r="F375" i="11" s="1"/>
  <c r="G305" i="11"/>
  <c r="F305" i="11" s="1"/>
  <c r="G392" i="11"/>
  <c r="F392" i="11" s="1"/>
  <c r="G386" i="11"/>
  <c r="F386" i="11"/>
  <c r="G395" i="11"/>
  <c r="F395" i="11"/>
  <c r="G299" i="11"/>
  <c r="F299" i="11"/>
  <c r="G415" i="11"/>
  <c r="F415" i="11"/>
  <c r="G383" i="11"/>
  <c r="F383" i="11"/>
  <c r="G293" i="11"/>
  <c r="F293" i="11"/>
  <c r="G291" i="11"/>
  <c r="F291" i="11"/>
  <c r="G310" i="11"/>
  <c r="F310" i="11" s="1"/>
  <c r="G398" i="11"/>
  <c r="F398" i="11" s="1"/>
  <c r="G312" i="11"/>
  <c r="F312" i="11" s="1"/>
  <c r="G388" i="11"/>
  <c r="F388" i="11" s="1"/>
  <c r="G409" i="11"/>
  <c r="F409" i="11"/>
  <c r="G391" i="11"/>
  <c r="F391" i="11" s="1"/>
  <c r="G380" i="11"/>
  <c r="F380" i="11"/>
  <c r="G285" i="11"/>
  <c r="F285" i="11"/>
  <c r="G406" i="11"/>
  <c r="F406" i="11" s="1"/>
  <c r="G374" i="11"/>
  <c r="F374" i="11"/>
  <c r="G311" i="11"/>
  <c r="F311" i="11" s="1"/>
  <c r="G287" i="11"/>
  <c r="F287" i="11"/>
  <c r="G284" i="11"/>
  <c r="F284" i="11" s="1"/>
  <c r="G314" i="11"/>
  <c r="F314" i="11" s="1"/>
  <c r="G450" i="11"/>
  <c r="F450" i="11" s="1"/>
  <c r="G389" i="11"/>
  <c r="F389" i="11" s="1"/>
  <c r="G283" i="11"/>
  <c r="F283" i="11"/>
  <c r="G399" i="11"/>
  <c r="F399" i="11" s="1"/>
  <c r="G382" i="11"/>
  <c r="F382" i="11" s="1"/>
  <c r="G411" i="11"/>
  <c r="F411" i="11"/>
  <c r="G271" i="11"/>
  <c r="F271" i="11"/>
  <c r="G297" i="11"/>
  <c r="F297" i="11"/>
  <c r="G309" i="11"/>
  <c r="G403" i="11"/>
  <c r="F403" i="11"/>
  <c r="G308" i="11"/>
  <c r="F308" i="11"/>
  <c r="G290" i="11"/>
  <c r="F290" i="11"/>
  <c r="G276" i="11"/>
  <c r="F276" i="11" s="1"/>
  <c r="G300" i="11"/>
  <c r="G372" i="11"/>
  <c r="F372" i="11" s="1"/>
  <c r="G401" i="11"/>
  <c r="F401" i="11"/>
  <c r="G273" i="11"/>
  <c r="F273" i="11"/>
  <c r="G377" i="11"/>
  <c r="F377" i="11" s="1"/>
  <c r="G280" i="11"/>
  <c r="F280" i="11"/>
  <c r="G387" i="11"/>
  <c r="F387" i="11"/>
  <c r="G294" i="11"/>
  <c r="F294" i="11"/>
  <c r="G275" i="11"/>
  <c r="F275" i="11"/>
  <c r="G404" i="11"/>
  <c r="F404" i="11" s="1"/>
  <c r="G307" i="11"/>
  <c r="F307" i="11"/>
  <c r="G405" i="11"/>
  <c r="F405" i="11" s="1"/>
  <c r="G373" i="11"/>
  <c r="F373" i="11" s="1"/>
  <c r="G282" i="11"/>
  <c r="F282" i="11" s="1"/>
  <c r="G412" i="11"/>
  <c r="F412" i="11" s="1"/>
  <c r="G381" i="11"/>
  <c r="F381" i="11" s="1"/>
  <c r="G349" i="11"/>
  <c r="F349" i="11" s="1"/>
  <c r="G286" i="11"/>
  <c r="F286" i="11" s="1"/>
  <c r="G274" i="11"/>
  <c r="F274" i="11"/>
  <c r="G296" i="11"/>
  <c r="F296" i="11" s="1"/>
  <c r="G302" i="11"/>
  <c r="F302" i="11" s="1"/>
  <c r="G400" i="11"/>
  <c r="F400" i="11"/>
  <c r="G288" i="11"/>
  <c r="F288" i="11" s="1"/>
  <c r="G301" i="11"/>
  <c r="F301" i="11" s="1"/>
  <c r="G298" i="11"/>
  <c r="F298" i="11"/>
  <c r="G408" i="11"/>
  <c r="F408" i="11" s="1"/>
  <c r="G397" i="11"/>
  <c r="F397" i="11"/>
  <c r="G303" i="11"/>
  <c r="F303" i="11" s="1"/>
  <c r="G384" i="11"/>
  <c r="F384" i="11" s="1"/>
  <c r="AA41" i="13"/>
  <c r="H68" i="9" s="1"/>
  <c r="AJ30" i="13"/>
  <c r="I57" i="9" s="1"/>
  <c r="H12" i="13"/>
  <c r="I12" i="13"/>
  <c r="I71" i="9"/>
  <c r="AJ27" i="13"/>
  <c r="I54" i="9" s="1"/>
  <c r="F71" i="9"/>
  <c r="V16" i="13"/>
  <c r="H34" i="9"/>
  <c r="V19" i="13"/>
  <c r="H37" i="9" s="1"/>
  <c r="V13" i="13"/>
  <c r="H31" i="9"/>
  <c r="V17" i="13"/>
  <c r="H35" i="9" s="1"/>
  <c r="J255" i="11" s="1"/>
  <c r="V15" i="13"/>
  <c r="H33" i="9"/>
  <c r="V18" i="13"/>
  <c r="H36" i="9" s="1"/>
  <c r="AA46" i="13"/>
  <c r="H73" i="9" s="1"/>
  <c r="G278" i="11"/>
  <c r="F278" i="11" s="1"/>
  <c r="M19" i="13"/>
  <c r="F37" i="9" s="1"/>
  <c r="H257" i="11" s="1"/>
  <c r="M14" i="13"/>
  <c r="F32" i="9" s="1"/>
  <c r="M17" i="13"/>
  <c r="F35" i="9" s="1"/>
  <c r="Q16" i="13"/>
  <c r="F42" i="9"/>
  <c r="M18" i="13"/>
  <c r="F36" i="9" s="1"/>
  <c r="M16" i="13"/>
  <c r="F34" i="9"/>
  <c r="M15" i="13"/>
  <c r="F33" i="9" s="1"/>
  <c r="Q18" i="13"/>
  <c r="F44" i="9" s="1"/>
  <c r="Q19" i="13"/>
  <c r="F45" i="9" s="1"/>
  <c r="AA59" i="13"/>
  <c r="H71" i="9"/>
  <c r="AI14" i="13"/>
  <c r="I40" i="9" s="1"/>
  <c r="AJ46" i="13"/>
  <c r="I73" i="9"/>
  <c r="AI19" i="13"/>
  <c r="I45" i="9" s="1"/>
  <c r="P201" i="11"/>
  <c r="E12" i="11"/>
  <c r="P12" i="11" s="1"/>
  <c r="AA4" i="13"/>
  <c r="Z8" i="13"/>
  <c r="AA8" i="13"/>
  <c r="Z10" i="13"/>
  <c r="AA10" i="13"/>
  <c r="Z7" i="13"/>
  <c r="AA7" i="13"/>
  <c r="Z11" i="13"/>
  <c r="AA11" i="13" s="1"/>
  <c r="Z6" i="13"/>
  <c r="AA6" i="13" s="1"/>
  <c r="AA20" i="13" s="1"/>
  <c r="H47" i="9" s="1"/>
  <c r="Z12" i="13"/>
  <c r="AA12" i="13"/>
  <c r="Z5" i="13"/>
  <c r="AA5" i="13"/>
  <c r="Z9" i="13"/>
  <c r="AA9" i="13" s="1"/>
  <c r="P11" i="11"/>
  <c r="P137" i="11"/>
  <c r="Z19" i="13"/>
  <c r="H45" i="9" s="1"/>
  <c r="AI17" i="13"/>
  <c r="I43" i="9" s="1"/>
  <c r="R29" i="13"/>
  <c r="F56" i="9" s="1"/>
  <c r="R56" i="13"/>
  <c r="F83" i="9" s="1"/>
  <c r="AA56" i="13"/>
  <c r="H83" i="9" s="1"/>
  <c r="H366" i="11"/>
  <c r="H265" i="11"/>
  <c r="J356" i="11"/>
  <c r="Z15" i="13"/>
  <c r="H41" i="9" s="1"/>
  <c r="J261" i="11" s="1"/>
  <c r="J251" i="11"/>
  <c r="J352" i="11"/>
  <c r="J32" i="11"/>
  <c r="J208" i="11"/>
  <c r="J174" i="11"/>
  <c r="J238" i="11"/>
  <c r="J126" i="11"/>
  <c r="J190" i="11"/>
  <c r="J78" i="11"/>
  <c r="J176" i="11"/>
  <c r="J30" i="11"/>
  <c r="J64" i="11"/>
  <c r="J94" i="11"/>
  <c r="J48" i="11"/>
  <c r="J160" i="11"/>
  <c r="J144" i="11"/>
  <c r="J145" i="11" s="1"/>
  <c r="J192" i="11"/>
  <c r="J16" i="11"/>
  <c r="J96" i="11"/>
  <c r="J112" i="11"/>
  <c r="J128" i="11"/>
  <c r="J46" i="11"/>
  <c r="J240" i="11"/>
  <c r="J158" i="11"/>
  <c r="J159" i="11" s="1"/>
  <c r="J110" i="11"/>
  <c r="J206" i="11"/>
  <c r="J224" i="11"/>
  <c r="J80" i="11"/>
  <c r="J222" i="11"/>
  <c r="J62" i="11"/>
  <c r="J14" i="11"/>
  <c r="J142" i="11"/>
  <c r="AA61" i="13"/>
  <c r="H88" i="9"/>
  <c r="AA23" i="13"/>
  <c r="H50" i="9"/>
  <c r="H354" i="11"/>
  <c r="H253" i="11"/>
  <c r="Z14" i="13"/>
  <c r="H40" i="9" s="1"/>
  <c r="H254" i="11"/>
  <c r="H355" i="11"/>
  <c r="J355" i="11"/>
  <c r="J254" i="11"/>
  <c r="J36" i="11"/>
  <c r="J116" i="11"/>
  <c r="J82" i="11"/>
  <c r="J130" i="11"/>
  <c r="J178" i="11"/>
  <c r="J52" i="11"/>
  <c r="J20" i="11"/>
  <c r="J210" i="11"/>
  <c r="J68" i="11"/>
  <c r="J148" i="11"/>
  <c r="J242" i="11"/>
  <c r="J164" i="11"/>
  <c r="J226" i="11"/>
  <c r="J114" i="11"/>
  <c r="J132" i="11"/>
  <c r="J98" i="11"/>
  <c r="J162" i="11"/>
  <c r="J212" i="11"/>
  <c r="J18" i="11"/>
  <c r="J146" i="11"/>
  <c r="J244" i="11"/>
  <c r="J196" i="11"/>
  <c r="J180" i="11"/>
  <c r="J181" i="11" s="1"/>
  <c r="J228" i="11"/>
  <c r="J34" i="11"/>
  <c r="J84" i="11"/>
  <c r="J50" i="11"/>
  <c r="J100" i="11"/>
  <c r="J66" i="11"/>
  <c r="J194" i="11"/>
  <c r="AJ61" i="13"/>
  <c r="I88" i="9" s="1"/>
  <c r="F50" i="9"/>
  <c r="AI16" i="13"/>
  <c r="I42" i="9" s="1"/>
  <c r="H357" i="11"/>
  <c r="H256" i="11"/>
  <c r="Z18" i="13"/>
  <c r="H44" i="9" s="1"/>
  <c r="R61" i="13"/>
  <c r="F88" i="9"/>
  <c r="AI18" i="13"/>
  <c r="I44" i="9" s="1"/>
  <c r="H262" i="11"/>
  <c r="H363" i="11"/>
  <c r="G378" i="11"/>
  <c r="AJ23" i="13"/>
  <c r="I50" i="9" s="1"/>
  <c r="G21" i="11"/>
  <c r="F21" i="11"/>
  <c r="F20" i="11"/>
  <c r="J358" i="11"/>
  <c r="J257" i="11"/>
  <c r="H356" i="11"/>
  <c r="H255" i="11"/>
  <c r="G229" i="11"/>
  <c r="F229" i="11" s="1"/>
  <c r="F228" i="11"/>
  <c r="Z13" i="13"/>
  <c r="H39" i="9" s="1"/>
  <c r="J360" i="11" s="1"/>
  <c r="H252" i="11"/>
  <c r="H353" i="11"/>
  <c r="Z16" i="13"/>
  <c r="H42" i="9" s="1"/>
  <c r="Z17" i="13"/>
  <c r="H43" i="9" s="1"/>
  <c r="AJ29" i="13"/>
  <c r="I56" i="9"/>
  <c r="J357" i="11"/>
  <c r="J256" i="11"/>
  <c r="J407" i="11"/>
  <c r="AA29" i="13"/>
  <c r="H56" i="9" s="1"/>
  <c r="AJ56" i="13"/>
  <c r="I83" i="9"/>
  <c r="J378" i="11"/>
  <c r="J277" i="11"/>
  <c r="J371" i="11"/>
  <c r="J270" i="11"/>
  <c r="J163" i="11"/>
  <c r="J101" i="11"/>
  <c r="J99" i="11"/>
  <c r="J131" i="11"/>
  <c r="J15" i="11"/>
  <c r="J97" i="11"/>
  <c r="J127" i="11"/>
  <c r="J63" i="11"/>
  <c r="J239" i="11"/>
  <c r="J85" i="11"/>
  <c r="J115" i="11"/>
  <c r="J117" i="11"/>
  <c r="J223" i="11"/>
  <c r="J193" i="11"/>
  <c r="J175" i="11"/>
  <c r="J35" i="11"/>
  <c r="J227" i="11"/>
  <c r="J37" i="11"/>
  <c r="J81" i="11"/>
  <c r="J209" i="11"/>
  <c r="J17" i="11"/>
  <c r="J229" i="11"/>
  <c r="J165" i="11"/>
  <c r="J225" i="11"/>
  <c r="J161" i="11"/>
  <c r="J33" i="11"/>
  <c r="J207" i="11"/>
  <c r="J49" i="11"/>
  <c r="J83" i="11"/>
  <c r="J197" i="11"/>
  <c r="J149" i="11"/>
  <c r="J111" i="11"/>
  <c r="J95" i="11"/>
  <c r="J51" i="11"/>
  <c r="J245" i="11"/>
  <c r="J69" i="11"/>
  <c r="J65" i="11"/>
  <c r="J147" i="11"/>
  <c r="J211" i="11"/>
  <c r="J241" i="11"/>
  <c r="J31" i="11"/>
  <c r="J133" i="11"/>
  <c r="J243" i="11"/>
  <c r="J19" i="11"/>
  <c r="J21" i="11"/>
  <c r="J47" i="11"/>
  <c r="J177" i="11"/>
  <c r="J195" i="11"/>
  <c r="J213" i="11"/>
  <c r="J53" i="11"/>
  <c r="J129" i="11"/>
  <c r="J79" i="11"/>
  <c r="J67" i="11"/>
  <c r="J179" i="11"/>
  <c r="J143" i="11"/>
  <c r="J113" i="11"/>
  <c r="J191" i="11"/>
  <c r="F319" i="11"/>
  <c r="K81" i="2"/>
  <c r="G88" i="2"/>
  <c r="J31" i="2"/>
  <c r="G90" i="2"/>
  <c r="J348" i="11"/>
  <c r="F30" i="17"/>
  <c r="J19" i="2"/>
  <c r="G73" i="2"/>
  <c r="J335" i="11"/>
  <c r="J346" i="11"/>
  <c r="K435" i="11"/>
  <c r="F12" i="17"/>
  <c r="G96" i="2"/>
  <c r="K432" i="11"/>
  <c r="G21" i="2"/>
  <c r="J39" i="2"/>
  <c r="G94" i="2"/>
  <c r="J20" i="2"/>
  <c r="K316" i="11"/>
  <c r="K438" i="11"/>
  <c r="J51" i="2"/>
  <c r="K441" i="11"/>
  <c r="G69" i="2"/>
  <c r="G84" i="2"/>
  <c r="K342" i="11"/>
  <c r="K423" i="11"/>
  <c r="G64" i="2"/>
  <c r="G78" i="2"/>
  <c r="K318" i="11"/>
  <c r="G115" i="2"/>
  <c r="J421" i="11"/>
  <c r="F38" i="17"/>
  <c r="J74" i="2"/>
  <c r="G100" i="2"/>
  <c r="G60" i="2"/>
  <c r="J321" i="11"/>
  <c r="G50" i="2"/>
  <c r="G41" i="2"/>
  <c r="K323" i="11"/>
  <c r="G42" i="2"/>
  <c r="F73" i="17"/>
  <c r="J445" i="11"/>
  <c r="F74" i="17"/>
  <c r="K336" i="11"/>
  <c r="J59" i="2"/>
  <c r="F57" i="17"/>
  <c r="J422" i="11"/>
  <c r="K424" i="11"/>
  <c r="K434" i="11"/>
  <c r="G32" i="2"/>
  <c r="J75" i="2"/>
  <c r="K418" i="11"/>
  <c r="G92" i="2"/>
  <c r="G40" i="2"/>
  <c r="G109" i="2"/>
  <c r="G114" i="2"/>
  <c r="F35" i="17"/>
  <c r="J23" i="2"/>
  <c r="G61" i="2"/>
  <c r="G106" i="2"/>
  <c r="K430" i="11"/>
  <c r="J45" i="2"/>
  <c r="J334" i="11"/>
  <c r="J326" i="11"/>
  <c r="G31" i="2"/>
  <c r="G56" i="2"/>
  <c r="K315" i="11"/>
  <c r="K320" i="11"/>
  <c r="G97" i="2"/>
  <c r="J57" i="2"/>
  <c r="G25" i="2"/>
  <c r="K326" i="11"/>
  <c r="J36" i="2"/>
  <c r="G113" i="2"/>
  <c r="J64" i="2"/>
  <c r="J70" i="2"/>
  <c r="J41" i="2"/>
  <c r="J423" i="11"/>
  <c r="J331" i="11"/>
  <c r="J446" i="11"/>
  <c r="J37" i="2"/>
  <c r="F27" i="17"/>
  <c r="J342" i="11"/>
  <c r="G68" i="2"/>
  <c r="K431" i="11"/>
  <c r="G107" i="2"/>
  <c r="F41" i="17"/>
  <c r="K422" i="11"/>
  <c r="J25" i="2"/>
  <c r="J449" i="11"/>
  <c r="K327" i="11"/>
  <c r="J347" i="11"/>
  <c r="F25" i="17"/>
  <c r="K417" i="11"/>
  <c r="J29" i="2"/>
  <c r="G101" i="2"/>
  <c r="K335" i="11"/>
  <c r="K426" i="11"/>
  <c r="J320" i="11"/>
  <c r="K448" i="11"/>
  <c r="J341" i="11"/>
  <c r="K332" i="11"/>
  <c r="F21" i="17"/>
  <c r="J444" i="11"/>
  <c r="K346" i="11"/>
  <c r="G52" i="2"/>
  <c r="K419" i="11"/>
  <c r="J429" i="11"/>
  <c r="G19" i="2"/>
  <c r="J330" i="11"/>
  <c r="J327" i="11"/>
  <c r="K449" i="11"/>
  <c r="F19" i="17"/>
  <c r="F66" i="17"/>
  <c r="J21" i="2"/>
  <c r="J13" i="2"/>
  <c r="K416" i="11"/>
  <c r="G20" i="2"/>
  <c r="G28" i="2"/>
  <c r="K429" i="11"/>
  <c r="F68" i="17"/>
  <c r="F67" i="17"/>
  <c r="F62" i="17"/>
  <c r="G22" i="2"/>
  <c r="G86" i="2"/>
  <c r="J63" i="2"/>
  <c r="J58" i="2"/>
  <c r="F49" i="17"/>
  <c r="J324" i="11"/>
  <c r="G49" i="2"/>
  <c r="J67" i="2"/>
  <c r="J323" i="11"/>
  <c r="J50" i="2"/>
  <c r="G38" i="2"/>
  <c r="K447" i="11"/>
  <c r="J17" i="2"/>
  <c r="J80" i="2"/>
  <c r="G43" i="2"/>
  <c r="F28" i="17"/>
  <c r="J56" i="2"/>
  <c r="F47" i="17"/>
  <c r="K343" i="11"/>
  <c r="J441" i="11"/>
  <c r="K337" i="11"/>
  <c r="G98" i="2"/>
  <c r="J434" i="11"/>
  <c r="G99" i="2"/>
  <c r="F14" i="17"/>
  <c r="G27" i="2"/>
  <c r="J77" i="2"/>
  <c r="J60" i="2"/>
  <c r="K444" i="11"/>
  <c r="J337" i="11"/>
  <c r="J78" i="2"/>
  <c r="J418" i="11"/>
  <c r="G58" i="2"/>
  <c r="J72" i="2"/>
  <c r="G67" i="2"/>
  <c r="J443" i="11"/>
  <c r="G62" i="2"/>
  <c r="K427" i="11"/>
  <c r="K328" i="11"/>
  <c r="J432" i="11"/>
  <c r="F39" i="17"/>
  <c r="K339" i="11"/>
  <c r="J32" i="2"/>
  <c r="G112" i="2"/>
  <c r="J68" i="2"/>
  <c r="G24" i="2"/>
  <c r="F48" i="17"/>
  <c r="G91" i="2"/>
  <c r="J426" i="11"/>
  <c r="F53" i="17"/>
  <c r="F58" i="17"/>
  <c r="F64" i="17"/>
  <c r="F36" i="17"/>
  <c r="F26" i="17"/>
  <c r="K325" i="11"/>
  <c r="J419" i="11"/>
  <c r="J49" i="2"/>
  <c r="F22" i="17"/>
  <c r="G55" i="2"/>
  <c r="K440" i="11"/>
  <c r="G80" i="2"/>
  <c r="F69" i="17"/>
  <c r="K321" i="11"/>
  <c r="F63" i="17"/>
  <c r="K437" i="11"/>
  <c r="J427" i="11"/>
  <c r="F52" i="17"/>
  <c r="J339" i="11"/>
  <c r="J438" i="11"/>
  <c r="J340" i="11"/>
  <c r="K331" i="11"/>
  <c r="G44" i="2"/>
  <c r="F42" i="17"/>
  <c r="G45" i="2"/>
  <c r="K333" i="11"/>
  <c r="F60" i="17"/>
  <c r="G54" i="2"/>
  <c r="J416" i="11"/>
  <c r="G59" i="2"/>
  <c r="G75" i="2"/>
  <c r="J436" i="11"/>
  <c r="F43" i="17"/>
  <c r="K443" i="11"/>
  <c r="K329" i="11"/>
  <c r="F32" i="17"/>
  <c r="G79" i="2"/>
  <c r="K347" i="11"/>
  <c r="G13" i="2"/>
  <c r="F24" i="17"/>
  <c r="J30" i="2"/>
  <c r="J319" i="11"/>
  <c r="J54" i="2"/>
  <c r="G15" i="2"/>
  <c r="J344" i="11"/>
  <c r="G95" i="2"/>
  <c r="G53" i="2"/>
  <c r="F31" i="17"/>
  <c r="J24" i="2"/>
  <c r="G74" i="2"/>
  <c r="G63" i="2"/>
  <c r="J316" i="11"/>
  <c r="F15" i="17"/>
  <c r="F72" i="17"/>
  <c r="G87" i="2"/>
  <c r="F76" i="17"/>
  <c r="J317" i="11"/>
  <c r="J16" i="2"/>
  <c r="J44" i="2"/>
  <c r="J40" i="2"/>
  <c r="K442" i="11"/>
  <c r="G34" i="2"/>
  <c r="K433" i="11"/>
  <c r="K324" i="11"/>
  <c r="K322" i="11"/>
  <c r="J430" i="11"/>
  <c r="F50" i="17"/>
  <c r="J53" i="2"/>
  <c r="J437" i="11"/>
  <c r="J22" i="2"/>
  <c r="G102" i="2"/>
  <c r="F54" i="17"/>
  <c r="J424" i="11"/>
  <c r="G111" i="2"/>
  <c r="J343" i="11"/>
  <c r="G66" i="2"/>
  <c r="J43" i="2"/>
  <c r="F29" i="17"/>
  <c r="F59" i="17"/>
  <c r="G36" i="2"/>
  <c r="F70" i="17"/>
  <c r="F51" i="17"/>
  <c r="J26" i="2"/>
  <c r="G57" i="2"/>
  <c r="J439" i="11"/>
  <c r="K338" i="11"/>
  <c r="G85" i="2"/>
  <c r="F33" i="17"/>
  <c r="J79" i="2"/>
  <c r="F37" i="17"/>
  <c r="F34" i="17"/>
  <c r="K319" i="11"/>
  <c r="G33" i="2"/>
  <c r="G16" i="2"/>
  <c r="F18" i="17"/>
  <c r="J65" i="2"/>
  <c r="J318" i="11"/>
  <c r="G48" i="2"/>
  <c r="J35" i="2"/>
  <c r="J322" i="11"/>
  <c r="G103" i="2"/>
  <c r="F56" i="17"/>
  <c r="J52" i="2"/>
  <c r="J34" i="2"/>
  <c r="K428" i="11"/>
  <c r="G108" i="2"/>
  <c r="G29" i="2"/>
  <c r="J48" i="2"/>
  <c r="K421" i="11"/>
  <c r="F46" i="17"/>
  <c r="G110" i="2"/>
  <c r="K334" i="11"/>
  <c r="F45" i="17"/>
  <c r="J425" i="11"/>
  <c r="F65" i="17"/>
  <c r="J62" i="2"/>
  <c r="K420" i="11"/>
  <c r="G70" i="2"/>
  <c r="J332" i="11"/>
  <c r="J328" i="11"/>
  <c r="K439" i="11"/>
  <c r="G83" i="2"/>
  <c r="F20" i="17"/>
  <c r="G71" i="2"/>
  <c r="G105" i="2"/>
  <c r="G77" i="2"/>
  <c r="G30" i="2"/>
  <c r="J15" i="2"/>
  <c r="J440" i="11"/>
  <c r="J55" i="2"/>
  <c r="G17" i="2"/>
  <c r="J325" i="11"/>
  <c r="J433" i="11"/>
  <c r="G18" i="2"/>
  <c r="F55" i="17"/>
  <c r="G26" i="2"/>
  <c r="J329" i="11"/>
  <c r="K344" i="11"/>
  <c r="G51" i="2"/>
  <c r="J333" i="11"/>
  <c r="F75" i="17"/>
  <c r="J27" i="2"/>
  <c r="F71" i="17"/>
  <c r="J448" i="11"/>
  <c r="G23" i="2"/>
  <c r="J69" i="2"/>
  <c r="J14" i="2"/>
  <c r="G37" i="2"/>
  <c r="J66" i="2"/>
  <c r="K436" i="11"/>
  <c r="F13" i="17"/>
  <c r="F61" i="17"/>
  <c r="G104" i="2"/>
  <c r="J447" i="11"/>
  <c r="G89" i="2"/>
  <c r="K317" i="11"/>
  <c r="J76" i="2"/>
  <c r="J338" i="11"/>
  <c r="K341" i="11"/>
  <c r="G39" i="2"/>
  <c r="J417" i="11"/>
  <c r="J33" i="2"/>
  <c r="J61" i="2"/>
  <c r="J73" i="2"/>
  <c r="J420" i="11"/>
  <c r="J315" i="11"/>
  <c r="J442" i="11"/>
  <c r="G72" i="2"/>
  <c r="G65" i="2"/>
  <c r="J38" i="2"/>
  <c r="J428" i="11"/>
  <c r="J431" i="11"/>
  <c r="K348" i="11"/>
  <c r="G93" i="2"/>
  <c r="K425" i="11"/>
  <c r="J42" i="2"/>
  <c r="K340" i="11"/>
  <c r="J336" i="11"/>
  <c r="K446" i="11"/>
  <c r="J71" i="2"/>
  <c r="F17" i="17"/>
  <c r="J345" i="11"/>
  <c r="K345" i="11"/>
  <c r="F40" i="17"/>
  <c r="J18" i="2"/>
  <c r="J28" i="2"/>
  <c r="K330" i="11"/>
  <c r="G76" i="2"/>
  <c r="G14" i="2"/>
  <c r="F16" i="17"/>
  <c r="K445" i="11"/>
  <c r="G35" i="2"/>
  <c r="J435" i="11"/>
  <c r="F23" i="17"/>
  <c r="F334" i="11" l="1"/>
  <c r="F338" i="11"/>
  <c r="F35" i="16"/>
  <c r="F36" i="16" s="1"/>
  <c r="E21" i="16"/>
  <c r="F11" i="17" s="1"/>
  <c r="M68" i="16"/>
  <c r="L21" i="16"/>
  <c r="L40" i="16"/>
  <c r="L58" i="16"/>
  <c r="L38" i="16"/>
  <c r="M76" i="16"/>
  <c r="L65" i="16"/>
  <c r="M66" i="16"/>
  <c r="G79" i="17"/>
  <c r="M18" i="16"/>
  <c r="M80" i="16"/>
  <c r="M22" i="16"/>
  <c r="M74" i="16"/>
  <c r="I99" i="2"/>
  <c r="H11" i="2"/>
  <c r="J370" i="11"/>
  <c r="J269" i="11"/>
  <c r="AA57" i="13"/>
  <c r="H84" i="9" s="1"/>
  <c r="J306" i="11"/>
  <c r="J354" i="11"/>
  <c r="J253" i="11"/>
  <c r="H365" i="11"/>
  <c r="H264" i="11"/>
  <c r="J289" i="11"/>
  <c r="J390" i="11"/>
  <c r="AA40" i="13"/>
  <c r="H67" i="9" s="1"/>
  <c r="H358" i="11"/>
  <c r="K366" i="11"/>
  <c r="AI15" i="13"/>
  <c r="I41" i="9" s="1"/>
  <c r="I31" i="9"/>
  <c r="H82" i="9"/>
  <c r="E119" i="2"/>
  <c r="O119" i="2" s="1"/>
  <c r="I78" i="9"/>
  <c r="G244" i="11"/>
  <c r="G116" i="11"/>
  <c r="G130" i="11"/>
  <c r="G210" i="11"/>
  <c r="H10" i="13"/>
  <c r="I10" i="13" s="1"/>
  <c r="H9" i="13"/>
  <c r="I9" i="13" s="1"/>
  <c r="I21" i="13" s="1"/>
  <c r="E48" i="9" s="1"/>
  <c r="H11" i="13"/>
  <c r="I11" i="13" s="1"/>
  <c r="C13" i="13"/>
  <c r="E19" i="9" s="1"/>
  <c r="I4" i="13"/>
  <c r="G146" i="11"/>
  <c r="H244" i="11"/>
  <c r="H245" i="11" s="1"/>
  <c r="H210" i="11"/>
  <c r="H211" i="11" s="1"/>
  <c r="H52" i="11"/>
  <c r="H53" i="11" s="1"/>
  <c r="H114" i="11"/>
  <c r="H115" i="11" s="1"/>
  <c r="H82" i="11"/>
  <c r="H83" i="11" s="1"/>
  <c r="H116" i="11"/>
  <c r="H117" i="11" s="1"/>
  <c r="H68" i="11"/>
  <c r="H69" i="11" s="1"/>
  <c r="J353" i="11"/>
  <c r="J252" i="11"/>
  <c r="H62" i="9"/>
  <c r="F62" i="9"/>
  <c r="AJ12" i="13"/>
  <c r="AJ20" i="13" s="1"/>
  <c r="I47" i="9" s="1"/>
  <c r="F79" i="9"/>
  <c r="I452" i="11"/>
  <c r="E452" i="11" s="1"/>
  <c r="P452" i="11" s="1"/>
  <c r="C10" i="9"/>
  <c r="K248" i="11"/>
  <c r="I248" i="11" s="1"/>
  <c r="AC25" i="13"/>
  <c r="AJ25" i="13" s="1"/>
  <c r="K25" i="13"/>
  <c r="R25" i="13" s="1"/>
  <c r="T25" i="13"/>
  <c r="AA25" i="13" s="1"/>
  <c r="F57" i="9"/>
  <c r="AC37" i="13"/>
  <c r="AJ37" i="13" s="1"/>
  <c r="K37" i="13"/>
  <c r="R37" i="13" s="1"/>
  <c r="H74" i="9"/>
  <c r="H85" i="9"/>
  <c r="F90" i="9"/>
  <c r="G122" i="11"/>
  <c r="F122" i="11" s="1"/>
  <c r="E122" i="11" s="1"/>
  <c r="P122" i="11" s="1"/>
  <c r="F121" i="11"/>
  <c r="E121" i="11" s="1"/>
  <c r="I39" i="13"/>
  <c r="K39" i="13"/>
  <c r="R39" i="13" s="1"/>
  <c r="AC60" i="13"/>
  <c r="AJ60" i="13" s="1"/>
  <c r="T60" i="13"/>
  <c r="AA60" i="13" s="1"/>
  <c r="K60" i="13"/>
  <c r="R60" i="13" s="1"/>
  <c r="P4" i="13"/>
  <c r="Q5" i="13"/>
  <c r="R5" i="13" s="1"/>
  <c r="G236" i="11"/>
  <c r="F236" i="11" s="1"/>
  <c r="E236" i="11" s="1"/>
  <c r="P236" i="11" s="1"/>
  <c r="I48" i="9"/>
  <c r="H89" i="9"/>
  <c r="F89" i="9"/>
  <c r="I89" i="9"/>
  <c r="H20" i="5"/>
  <c r="AI12" i="13"/>
  <c r="AI13" i="13" s="1"/>
  <c r="I39" i="9" s="1"/>
  <c r="K360" i="11" s="1"/>
  <c r="H309" i="11"/>
  <c r="F309" i="11" s="1"/>
  <c r="T52" i="13"/>
  <c r="T21" i="13"/>
  <c r="G202" i="11"/>
  <c r="F202" i="11" s="1"/>
  <c r="E202" i="11" s="1"/>
  <c r="P202" i="11" s="1"/>
  <c r="G139" i="11"/>
  <c r="G185" i="11"/>
  <c r="G123" i="11"/>
  <c r="G217" i="11"/>
  <c r="G9" i="11"/>
  <c r="J44" i="11"/>
  <c r="I44" i="11" s="1"/>
  <c r="K350" i="11"/>
  <c r="I28" i="9"/>
  <c r="K355" i="11" s="1"/>
  <c r="K249" i="11"/>
  <c r="I329" i="11" s="1"/>
  <c r="AD5" i="13"/>
  <c r="B22" i="13"/>
  <c r="B31" i="13"/>
  <c r="B36" i="13"/>
  <c r="B53" i="13"/>
  <c r="J268" i="11"/>
  <c r="B70" i="9"/>
  <c r="J272" i="11"/>
  <c r="F219" i="11"/>
  <c r="E219" i="11" s="1"/>
  <c r="P219" i="11" s="1"/>
  <c r="J402" i="11"/>
  <c r="I62" i="13"/>
  <c r="K47" i="13"/>
  <c r="I57" i="11"/>
  <c r="H23" i="5"/>
  <c r="G169" i="11"/>
  <c r="T48" i="13"/>
  <c r="K369" i="11"/>
  <c r="G75" i="11"/>
  <c r="B64" i="9"/>
  <c r="B86" i="9"/>
  <c r="J409" i="11"/>
  <c r="J349" i="11"/>
  <c r="G203" i="11"/>
  <c r="G105" i="11"/>
  <c r="G73" i="11"/>
  <c r="G91" i="11"/>
  <c r="K48" i="13"/>
  <c r="F446" i="11"/>
  <c r="F416" i="11"/>
  <c r="I112" i="2"/>
  <c r="I91" i="2"/>
  <c r="B32" i="13"/>
  <c r="B50" i="13"/>
  <c r="B54" i="13"/>
  <c r="B87" i="9"/>
  <c r="J374" i="11"/>
  <c r="J415" i="11"/>
  <c r="G57" i="11"/>
  <c r="I86" i="2"/>
  <c r="AC49" i="13"/>
  <c r="F336" i="11"/>
  <c r="F422" i="11"/>
  <c r="F419" i="11"/>
  <c r="F420" i="11"/>
  <c r="D5" i="13"/>
  <c r="G171" i="11"/>
  <c r="H27" i="11"/>
  <c r="J350" i="11"/>
  <c r="I443" i="11" s="1"/>
  <c r="B24" i="13"/>
  <c r="B28" i="13"/>
  <c r="B42" i="13"/>
  <c r="B64" i="13"/>
  <c r="B66" i="9"/>
  <c r="J283" i="11"/>
  <c r="F107" i="11"/>
  <c r="E107" i="11" s="1"/>
  <c r="P107" i="11" s="1"/>
  <c r="G43" i="11"/>
  <c r="G59" i="11"/>
  <c r="G233" i="11"/>
  <c r="G187" i="11"/>
  <c r="B34" i="13"/>
  <c r="F326" i="11"/>
  <c r="I115" i="2"/>
  <c r="B52" i="9"/>
  <c r="G41" i="11"/>
  <c r="G27" i="11"/>
  <c r="G25" i="11"/>
  <c r="I106" i="2"/>
  <c r="G89" i="11"/>
  <c r="B65" i="13"/>
  <c r="G155" i="11"/>
  <c r="G153" i="11"/>
  <c r="E83" i="17"/>
  <c r="K83" i="17" s="1"/>
  <c r="E77" i="17"/>
  <c r="K77" i="17" s="1"/>
  <c r="F445" i="11"/>
  <c r="F432" i="11"/>
  <c r="F321" i="11"/>
  <c r="I89" i="2"/>
  <c r="F341" i="11"/>
  <c r="F333" i="11"/>
  <c r="F323" i="11"/>
  <c r="F343" i="11"/>
  <c r="E9" i="17"/>
  <c r="K9" i="17" s="1"/>
  <c r="F439" i="11"/>
  <c r="L81" i="16"/>
  <c r="K12" i="2"/>
  <c r="M81" i="16"/>
  <c r="G28" i="16"/>
  <c r="G8" i="17" s="1"/>
  <c r="I104" i="2"/>
  <c r="M65" i="16"/>
  <c r="F21" i="16"/>
  <c r="M58" i="16"/>
  <c r="N31" i="16"/>
  <c r="L22" i="16"/>
  <c r="L66" i="16"/>
  <c r="M40" i="16"/>
  <c r="L55" i="16"/>
  <c r="K361" i="11"/>
  <c r="H82" i="2"/>
  <c r="G78" i="17"/>
  <c r="L74" i="16"/>
  <c r="F84" i="17"/>
  <c r="E84" i="17" s="1"/>
  <c r="K84" i="17" s="1"/>
  <c r="M79" i="16"/>
  <c r="M56" i="16"/>
  <c r="M38" i="16"/>
  <c r="F327" i="11"/>
  <c r="I88" i="2"/>
  <c r="L18" i="16"/>
  <c r="I114" i="2"/>
  <c r="G81" i="17"/>
  <c r="G82" i="17" s="1"/>
  <c r="F340" i="11"/>
  <c r="F22" i="16"/>
  <c r="G21" i="16"/>
  <c r="G11" i="17" s="1"/>
  <c r="F427" i="11"/>
  <c r="F82" i="17"/>
  <c r="K263" i="11"/>
  <c r="F80" i="17"/>
  <c r="E80" i="17" s="1"/>
  <c r="K80" i="17" s="1"/>
  <c r="M49" i="16"/>
  <c r="F447" i="11"/>
  <c r="I96" i="2"/>
  <c r="F79" i="17"/>
  <c r="E79" i="17" s="1"/>
  <c r="K79" i="17" s="1"/>
  <c r="E22" i="16"/>
  <c r="F32" i="16"/>
  <c r="E32" i="16"/>
  <c r="L23" i="16"/>
  <c r="I105" i="2"/>
  <c r="F345" i="11"/>
  <c r="I92" i="2"/>
  <c r="L33" i="16"/>
  <c r="E35" i="16"/>
  <c r="F28" i="16"/>
  <c r="G32" i="16"/>
  <c r="G10" i="17" s="1"/>
  <c r="F78" i="17"/>
  <c r="L53" i="16"/>
  <c r="L51" i="16"/>
  <c r="F443" i="11"/>
  <c r="I107" i="2"/>
  <c r="E28" i="16"/>
  <c r="H47" i="2"/>
  <c r="I100" i="2"/>
  <c r="I109" i="2"/>
  <c r="F423" i="11"/>
  <c r="F342" i="11"/>
  <c r="I84" i="2"/>
  <c r="F425" i="11"/>
  <c r="F329" i="11"/>
  <c r="F328" i="11"/>
  <c r="F431" i="11"/>
  <c r="F437" i="11"/>
  <c r="F418" i="11"/>
  <c r="J362" i="11"/>
  <c r="J363" i="11"/>
  <c r="J262" i="11"/>
  <c r="F442" i="11"/>
  <c r="F339" i="11"/>
  <c r="I94" i="2"/>
  <c r="J81" i="2"/>
  <c r="I81" i="2" s="1"/>
  <c r="F436" i="11"/>
  <c r="F320" i="11"/>
  <c r="K47" i="2"/>
  <c r="I93" i="2"/>
  <c r="I85" i="2"/>
  <c r="F433" i="11"/>
  <c r="F429" i="11"/>
  <c r="F424" i="11"/>
  <c r="I111" i="2"/>
  <c r="F315" i="11"/>
  <c r="K265" i="11"/>
  <c r="F444" i="11"/>
  <c r="F435" i="11"/>
  <c r="I108" i="2"/>
  <c r="I102" i="2"/>
  <c r="I110" i="2"/>
  <c r="F448" i="11"/>
  <c r="F421" i="11"/>
  <c r="F417" i="11"/>
  <c r="I95" i="2"/>
  <c r="F316" i="11"/>
  <c r="I87" i="2"/>
  <c r="I97" i="2"/>
  <c r="F438" i="11"/>
  <c r="F440" i="11"/>
  <c r="F346" i="11"/>
  <c r="F317" i="11"/>
  <c r="I103" i="2"/>
  <c r="F348" i="11"/>
  <c r="F441" i="11"/>
  <c r="I101" i="2"/>
  <c r="F428" i="11"/>
  <c r="F335" i="11"/>
  <c r="J260" i="11"/>
  <c r="J361" i="11"/>
  <c r="J264" i="11"/>
  <c r="J365" i="11"/>
  <c r="F449" i="11"/>
  <c r="F324" i="11"/>
  <c r="F332" i="11"/>
  <c r="I113" i="2"/>
  <c r="F337" i="11"/>
  <c r="F426" i="11"/>
  <c r="I82" i="2"/>
  <c r="I90" i="2"/>
  <c r="I98" i="2"/>
  <c r="J259" i="11"/>
  <c r="F344" i="11"/>
  <c r="F330" i="11"/>
  <c r="F325" i="11"/>
  <c r="F430" i="11"/>
  <c r="F347" i="11"/>
  <c r="F322" i="11"/>
  <c r="F331" i="11"/>
  <c r="F434" i="11"/>
  <c r="F19" i="2"/>
  <c r="F109" i="2"/>
  <c r="F58" i="2"/>
  <c r="G47" i="2"/>
  <c r="G46" i="2"/>
  <c r="F46" i="2" s="1"/>
  <c r="I28" i="2"/>
  <c r="I43" i="2"/>
  <c r="I36" i="2"/>
  <c r="I71" i="2"/>
  <c r="F112" i="2"/>
  <c r="E112" i="2" s="1"/>
  <c r="O112" i="2" s="1"/>
  <c r="E40" i="17"/>
  <c r="K40" i="17" s="1"/>
  <c r="F31" i="2"/>
  <c r="E75" i="17"/>
  <c r="K75" i="17" s="1"/>
  <c r="F93" i="2"/>
  <c r="I31" i="2"/>
  <c r="E54" i="17"/>
  <c r="K54" i="17" s="1"/>
  <c r="E74" i="17"/>
  <c r="K74" i="17" s="1"/>
  <c r="I75" i="2"/>
  <c r="I321" i="11"/>
  <c r="I23" i="2"/>
  <c r="E39" i="17"/>
  <c r="K39" i="17" s="1"/>
  <c r="I20" i="2"/>
  <c r="E48" i="17"/>
  <c r="K48" i="17" s="1"/>
  <c r="I444" i="11"/>
  <c r="I30" i="2"/>
  <c r="F53" i="2"/>
  <c r="I29" i="2"/>
  <c r="F55" i="2"/>
  <c r="F27" i="2"/>
  <c r="F41" i="2"/>
  <c r="F85" i="2"/>
  <c r="F72" i="2"/>
  <c r="I32" i="2"/>
  <c r="E20" i="17"/>
  <c r="K20" i="17" s="1"/>
  <c r="F88" i="2"/>
  <c r="F51" i="2"/>
  <c r="F23" i="2"/>
  <c r="F38" i="2"/>
  <c r="F95" i="2"/>
  <c r="F52" i="2"/>
  <c r="E53" i="17"/>
  <c r="K53" i="17" s="1"/>
  <c r="F18" i="2"/>
  <c r="F79" i="2"/>
  <c r="E16" i="17"/>
  <c r="K16" i="17" s="1"/>
  <c r="F42" i="2"/>
  <c r="F26" i="2"/>
  <c r="E56" i="17"/>
  <c r="K56" i="17" s="1"/>
  <c r="I19" i="2"/>
  <c r="E67" i="17"/>
  <c r="K67" i="17" s="1"/>
  <c r="I42" i="2"/>
  <c r="F86" i="2"/>
  <c r="E61" i="17"/>
  <c r="K61" i="17" s="1"/>
  <c r="I44" i="2"/>
  <c r="I338" i="11"/>
  <c r="F45" i="2"/>
  <c r="I337" i="11"/>
  <c r="I41" i="2"/>
  <c r="I51" i="2"/>
  <c r="E45" i="17"/>
  <c r="K45" i="17" s="1"/>
  <c r="F78" i="2"/>
  <c r="I61" i="2"/>
  <c r="I70" i="2"/>
  <c r="F90" i="2"/>
  <c r="F108" i="2"/>
  <c r="E13" i="17"/>
  <c r="K13" i="17" s="1"/>
  <c r="G12" i="2"/>
  <c r="F12" i="2" s="1"/>
  <c r="G11" i="2"/>
  <c r="F11" i="2" s="1"/>
  <c r="I34" i="2"/>
  <c r="F57" i="2"/>
  <c r="F103" i="2"/>
  <c r="F110" i="2"/>
  <c r="E43" i="17"/>
  <c r="K43" i="17" s="1"/>
  <c r="E55" i="17"/>
  <c r="K55" i="17" s="1"/>
  <c r="I21" i="2"/>
  <c r="E29" i="17"/>
  <c r="K29" i="17" s="1"/>
  <c r="E76" i="17"/>
  <c r="K76" i="17" s="1"/>
  <c r="F87" i="2"/>
  <c r="E12" i="17"/>
  <c r="K12" i="17" s="1"/>
  <c r="I78" i="2"/>
  <c r="I339" i="11"/>
  <c r="I447" i="11"/>
  <c r="E447" i="11" s="1"/>
  <c r="P447" i="11" s="1"/>
  <c r="I58" i="2"/>
  <c r="I38" i="2"/>
  <c r="F34" i="2"/>
  <c r="I316" i="11"/>
  <c r="F99" i="2"/>
  <c r="E28" i="17"/>
  <c r="K28" i="17" s="1"/>
  <c r="I45" i="2"/>
  <c r="F96" i="2"/>
  <c r="E25" i="17"/>
  <c r="K25" i="17" s="1"/>
  <c r="I322" i="11"/>
  <c r="E46" i="17"/>
  <c r="K46" i="17" s="1"/>
  <c r="I50" i="2"/>
  <c r="I66" i="2"/>
  <c r="I62" i="2"/>
  <c r="I328" i="11"/>
  <c r="I25" i="2"/>
  <c r="F63" i="2"/>
  <c r="F102" i="2"/>
  <c r="F61" i="2"/>
  <c r="I65" i="2"/>
  <c r="I37" i="2"/>
  <c r="E35" i="17"/>
  <c r="K35" i="17" s="1"/>
  <c r="F115" i="2"/>
  <c r="E115" i="2" s="1"/>
  <c r="O115" i="2" s="1"/>
  <c r="F20" i="2"/>
  <c r="I320" i="11"/>
  <c r="I14" i="2"/>
  <c r="F94" i="2"/>
  <c r="I69" i="2"/>
  <c r="I336" i="11"/>
  <c r="E336" i="11" s="1"/>
  <c r="P336" i="11" s="1"/>
  <c r="E60" i="17"/>
  <c r="K60" i="17" s="1"/>
  <c r="E23" i="17"/>
  <c r="K23" i="17" s="1"/>
  <c r="F67" i="2"/>
  <c r="E71" i="17"/>
  <c r="K71" i="17" s="1"/>
  <c r="F73" i="2"/>
  <c r="I53" i="2"/>
  <c r="I72" i="2"/>
  <c r="F111" i="2"/>
  <c r="E51" i="17"/>
  <c r="K51" i="17" s="1"/>
  <c r="I68" i="2"/>
  <c r="F107" i="2"/>
  <c r="I345" i="11"/>
  <c r="E345" i="11" s="1"/>
  <c r="P345" i="11" s="1"/>
  <c r="E24" i="17"/>
  <c r="K24" i="17" s="1"/>
  <c r="I35" i="2"/>
  <c r="F49" i="2"/>
  <c r="F17" i="2"/>
  <c r="I56" i="2"/>
  <c r="I347" i="11"/>
  <c r="I73" i="2"/>
  <c r="E42" i="17"/>
  <c r="K42" i="17" s="1"/>
  <c r="F77" i="2"/>
  <c r="E17" i="17"/>
  <c r="K17" i="17" s="1"/>
  <c r="I57" i="2"/>
  <c r="F71" i="2"/>
  <c r="F16" i="2"/>
  <c r="F84" i="2"/>
  <c r="I80" i="2"/>
  <c r="I315" i="11"/>
  <c r="E315" i="11" s="1"/>
  <c r="P315" i="11" s="1"/>
  <c r="F22" i="2"/>
  <c r="F32" i="2"/>
  <c r="E19" i="17"/>
  <c r="K19" i="17" s="1"/>
  <c r="I344" i="11"/>
  <c r="F14" i="2"/>
  <c r="F98" i="2"/>
  <c r="I343" i="11"/>
  <c r="I17" i="2"/>
  <c r="I40" i="2"/>
  <c r="F44" i="2"/>
  <c r="E14" i="17"/>
  <c r="K14" i="17" s="1"/>
  <c r="F21" i="2"/>
  <c r="I33" i="2"/>
  <c r="E64" i="17"/>
  <c r="K64" i="17" s="1"/>
  <c r="F92" i="2"/>
  <c r="I318" i="11"/>
  <c r="I324" i="11"/>
  <c r="I59" i="2"/>
  <c r="I63" i="2"/>
  <c r="F104" i="2"/>
  <c r="F40" i="2"/>
  <c r="I341" i="11"/>
  <c r="E341" i="11" s="1"/>
  <c r="P341" i="11" s="1"/>
  <c r="E66" i="17"/>
  <c r="K66" i="17" s="1"/>
  <c r="E73" i="17"/>
  <c r="K73" i="17" s="1"/>
  <c r="E36" i="17"/>
  <c r="K36" i="17" s="1"/>
  <c r="I27" i="2"/>
  <c r="I323" i="11"/>
  <c r="F54" i="2"/>
  <c r="E15" i="17"/>
  <c r="K15" i="17" s="1"/>
  <c r="I428" i="11"/>
  <c r="E62" i="17"/>
  <c r="K62" i="17" s="1"/>
  <c r="I327" i="11"/>
  <c r="I74" i="2"/>
  <c r="F97" i="2"/>
  <c r="E34" i="17"/>
  <c r="K34" i="17" s="1"/>
  <c r="I22" i="2"/>
  <c r="F43" i="2"/>
  <c r="E43" i="2" s="1"/>
  <c r="O43" i="2" s="1"/>
  <c r="I438" i="11"/>
  <c r="F15" i="2"/>
  <c r="E33" i="17"/>
  <c r="K33" i="17" s="1"/>
  <c r="I332" i="11"/>
  <c r="F33" i="2"/>
  <c r="F80" i="2"/>
  <c r="F56" i="2"/>
  <c r="E52" i="17"/>
  <c r="K52" i="17" s="1"/>
  <c r="F50" i="2"/>
  <c r="I436" i="11"/>
  <c r="E436" i="11" s="1"/>
  <c r="P436" i="11" s="1"/>
  <c r="F24" i="2"/>
  <c r="F35" i="2"/>
  <c r="F62" i="2"/>
  <c r="E70" i="17"/>
  <c r="K70" i="17" s="1"/>
  <c r="I335" i="11"/>
  <c r="I54" i="2"/>
  <c r="I15" i="2"/>
  <c r="I49" i="2"/>
  <c r="E21" i="17"/>
  <c r="K21" i="17" s="1"/>
  <c r="I55" i="2"/>
  <c r="F75" i="2"/>
  <c r="F76" i="2"/>
  <c r="I340" i="11"/>
  <c r="E340" i="11" s="1"/>
  <c r="P340" i="11" s="1"/>
  <c r="I346" i="11"/>
  <c r="E346" i="11" s="1"/>
  <c r="P346" i="11" s="1"/>
  <c r="F60" i="2"/>
  <c r="E63" i="17"/>
  <c r="K63" i="17" s="1"/>
  <c r="I52" i="2"/>
  <c r="F25" i="2"/>
  <c r="I319" i="11"/>
  <c r="E319" i="11" s="1"/>
  <c r="P319" i="11" s="1"/>
  <c r="F113" i="2"/>
  <c r="F100" i="2"/>
  <c r="I18" i="2"/>
  <c r="I26" i="2"/>
  <c r="E57" i="17"/>
  <c r="K57" i="17" s="1"/>
  <c r="F65" i="2"/>
  <c r="I330" i="11"/>
  <c r="I76" i="2"/>
  <c r="F28" i="2"/>
  <c r="F91" i="2"/>
  <c r="E58" i="17"/>
  <c r="K58" i="17" s="1"/>
  <c r="I446" i="11"/>
  <c r="E38" i="17"/>
  <c r="K38" i="17" s="1"/>
  <c r="F69" i="2"/>
  <c r="I16" i="2"/>
  <c r="E26" i="17"/>
  <c r="K26" i="17" s="1"/>
  <c r="I79" i="2"/>
  <c r="E69" i="17"/>
  <c r="K69" i="17" s="1"/>
  <c r="E49" i="17"/>
  <c r="K49" i="17" s="1"/>
  <c r="E59" i="17"/>
  <c r="K59" i="17" s="1"/>
  <c r="F106" i="2"/>
  <c r="F36" i="2"/>
  <c r="F66" i="2"/>
  <c r="F37" i="2"/>
  <c r="E32" i="17"/>
  <c r="K32" i="17" s="1"/>
  <c r="I60" i="2"/>
  <c r="G82" i="2"/>
  <c r="F82" i="2" s="1"/>
  <c r="G81" i="2"/>
  <c r="F81" i="2" s="1"/>
  <c r="F70" i="2"/>
  <c r="F68" i="2"/>
  <c r="E65" i="17"/>
  <c r="K65" i="17" s="1"/>
  <c r="I24" i="2"/>
  <c r="I342" i="11"/>
  <c r="E342" i="11" s="1"/>
  <c r="P342" i="11" s="1"/>
  <c r="E50" i="17"/>
  <c r="K50" i="17" s="1"/>
  <c r="E30" i="17"/>
  <c r="K30" i="17" s="1"/>
  <c r="E27" i="17"/>
  <c r="K27" i="17" s="1"/>
  <c r="I333" i="11"/>
  <c r="E333" i="11" s="1"/>
  <c r="P333" i="11" s="1"/>
  <c r="E37" i="17"/>
  <c r="K37" i="17" s="1"/>
  <c r="I39" i="2"/>
  <c r="F64" i="2"/>
  <c r="I317" i="11"/>
  <c r="J11" i="2"/>
  <c r="I11" i="2" s="1"/>
  <c r="J12" i="2"/>
  <c r="I12" i="2" s="1"/>
  <c r="F114" i="2"/>
  <c r="F39" i="2"/>
  <c r="E47" i="17"/>
  <c r="K47" i="17" s="1"/>
  <c r="E18" i="17"/>
  <c r="K18" i="17" s="1"/>
  <c r="F30" i="2"/>
  <c r="E68" i="17"/>
  <c r="K68" i="17" s="1"/>
  <c r="E72" i="17"/>
  <c r="K72" i="17" s="1"/>
  <c r="I348" i="11"/>
  <c r="I331" i="11"/>
  <c r="I432" i="11"/>
  <c r="E22" i="17"/>
  <c r="K22" i="17" s="1"/>
  <c r="I325" i="11"/>
  <c r="E325" i="11" s="1"/>
  <c r="P325" i="11" s="1"/>
  <c r="E41" i="17"/>
  <c r="K41" i="17" s="1"/>
  <c r="I334" i="11"/>
  <c r="I77" i="2"/>
  <c r="I326" i="11"/>
  <c r="E326" i="11" s="1"/>
  <c r="P326" i="11" s="1"/>
  <c r="F59" i="2"/>
  <c r="F101" i="2"/>
  <c r="F29" i="2"/>
  <c r="I67" i="2"/>
  <c r="F89" i="2"/>
  <c r="I64" i="2"/>
  <c r="F74" i="2"/>
  <c r="E31" i="17"/>
  <c r="K31" i="17" s="1"/>
  <c r="J47" i="2"/>
  <c r="J46" i="2"/>
  <c r="I46" i="2" s="1"/>
  <c r="F105" i="2"/>
  <c r="E105" i="2" s="1"/>
  <c r="O105" i="2" s="1"/>
  <c r="K262" i="11"/>
  <c r="K363" i="11"/>
  <c r="F318" i="11"/>
  <c r="J263" i="11"/>
  <c r="J364" i="11"/>
  <c r="J366" i="11"/>
  <c r="J265" i="11"/>
  <c r="E82" i="2" l="1"/>
  <c r="O82" i="2" s="1"/>
  <c r="E348" i="11"/>
  <c r="E343" i="11"/>
  <c r="P343" i="11" s="1"/>
  <c r="E337" i="11"/>
  <c r="P337" i="11" s="1"/>
  <c r="E82" i="17"/>
  <c r="K82" i="17" s="1"/>
  <c r="E91" i="2"/>
  <c r="O91" i="2" s="1"/>
  <c r="E335" i="11"/>
  <c r="P335" i="11" s="1"/>
  <c r="E99" i="2"/>
  <c r="O99" i="2" s="1"/>
  <c r="E338" i="11"/>
  <c r="P338" i="11" s="1"/>
  <c r="E334" i="11"/>
  <c r="P334" i="11" s="1"/>
  <c r="E86" i="2"/>
  <c r="O86" i="2" s="1"/>
  <c r="E109" i="2"/>
  <c r="O109" i="2" s="1"/>
  <c r="E110" i="2"/>
  <c r="O110" i="2" s="1"/>
  <c r="E81" i="2"/>
  <c r="O81" i="2" s="1"/>
  <c r="E446" i="11"/>
  <c r="P446" i="11" s="1"/>
  <c r="E438" i="11"/>
  <c r="P438" i="11" s="1"/>
  <c r="E428" i="11"/>
  <c r="P428" i="11" s="1"/>
  <c r="E347" i="11"/>
  <c r="E111" i="2"/>
  <c r="O111" i="2" s="1"/>
  <c r="E89" i="2"/>
  <c r="O89" i="2" s="1"/>
  <c r="E30" i="2"/>
  <c r="O30" i="2" s="1"/>
  <c r="E75" i="2"/>
  <c r="O75" i="2" s="1"/>
  <c r="E92" i="2"/>
  <c r="O92" i="2" s="1"/>
  <c r="E96" i="2"/>
  <c r="O96" i="2" s="1"/>
  <c r="E90" i="2"/>
  <c r="O90" i="2" s="1"/>
  <c r="E95" i="2"/>
  <c r="O95" i="2" s="1"/>
  <c r="E32" i="2"/>
  <c r="O32" i="2" s="1"/>
  <c r="E97" i="2"/>
  <c r="O97" i="2" s="1"/>
  <c r="E94" i="2"/>
  <c r="O94" i="2" s="1"/>
  <c r="E100" i="2"/>
  <c r="O100" i="2" s="1"/>
  <c r="E36" i="2"/>
  <c r="O36" i="2" s="1"/>
  <c r="E101" i="2"/>
  <c r="O101" i="2" s="1"/>
  <c r="E14" i="2"/>
  <c r="O14" i="2" s="1"/>
  <c r="E98" i="2"/>
  <c r="O98" i="2" s="1"/>
  <c r="E316" i="11"/>
  <c r="P316" i="11" s="1"/>
  <c r="E444" i="11"/>
  <c r="P444" i="11" s="1"/>
  <c r="E331" i="11"/>
  <c r="P331" i="11" s="1"/>
  <c r="K259" i="11"/>
  <c r="I259" i="11" s="1"/>
  <c r="E37" i="2"/>
  <c r="O37" i="2" s="1"/>
  <c r="F47" i="2"/>
  <c r="E443" i="11"/>
  <c r="P443" i="11" s="1"/>
  <c r="E329" i="11"/>
  <c r="P329" i="11" s="1"/>
  <c r="E102" i="2"/>
  <c r="O102" i="2" s="1"/>
  <c r="E88" i="2"/>
  <c r="O88" i="2" s="1"/>
  <c r="E321" i="11"/>
  <c r="P321" i="11" s="1"/>
  <c r="I263" i="11"/>
  <c r="E68" i="2"/>
  <c r="O68" i="2" s="1"/>
  <c r="E432" i="11"/>
  <c r="P432" i="11" s="1"/>
  <c r="E106" i="2"/>
  <c r="O106" i="2" s="1"/>
  <c r="E20" i="2"/>
  <c r="O20" i="2" s="1"/>
  <c r="F27" i="11"/>
  <c r="E27" i="11" s="1"/>
  <c r="P27" i="11" s="1"/>
  <c r="G28" i="11"/>
  <c r="G36" i="11"/>
  <c r="G32" i="11"/>
  <c r="I24" i="13"/>
  <c r="AC24" i="13"/>
  <c r="K24" i="13"/>
  <c r="T24" i="13"/>
  <c r="K22" i="13"/>
  <c r="T22" i="13"/>
  <c r="AC22" i="13"/>
  <c r="E51" i="9"/>
  <c r="E79" i="9"/>
  <c r="E85" i="9"/>
  <c r="E76" i="9"/>
  <c r="E89" i="9"/>
  <c r="E73" i="9"/>
  <c r="E56" i="9"/>
  <c r="E74" i="9"/>
  <c r="E54" i="9"/>
  <c r="E59" i="9"/>
  <c r="E57" i="9"/>
  <c r="E75" i="9"/>
  <c r="E68" i="9"/>
  <c r="E62" i="9"/>
  <c r="E83" i="9"/>
  <c r="E78" i="9"/>
  <c r="E82" i="9"/>
  <c r="E72" i="9"/>
  <c r="E65" i="9"/>
  <c r="E71" i="9"/>
  <c r="E88" i="9"/>
  <c r="I22" i="13"/>
  <c r="E49" i="9" s="1"/>
  <c r="E50" i="9"/>
  <c r="E90" i="9"/>
  <c r="E53" i="9"/>
  <c r="E60" i="9"/>
  <c r="E55" i="9"/>
  <c r="AJ49" i="13"/>
  <c r="I76" i="9" s="1"/>
  <c r="AD13" i="13"/>
  <c r="I19" i="9" s="1"/>
  <c r="AD14" i="13"/>
  <c r="I20" i="9" s="1"/>
  <c r="I363" i="11"/>
  <c r="E69" i="2"/>
  <c r="O69" i="2" s="1"/>
  <c r="E332" i="11"/>
  <c r="P332" i="11" s="1"/>
  <c r="E44" i="2"/>
  <c r="O44" i="2" s="1"/>
  <c r="E71" i="2"/>
  <c r="O71" i="2" s="1"/>
  <c r="I440" i="11"/>
  <c r="E440" i="11" s="1"/>
  <c r="P440" i="11" s="1"/>
  <c r="I262" i="11"/>
  <c r="I47" i="2"/>
  <c r="I429" i="11"/>
  <c r="E429" i="11" s="1"/>
  <c r="P429" i="11" s="1"/>
  <c r="E317" i="11"/>
  <c r="P317" i="11" s="1"/>
  <c r="I442" i="11"/>
  <c r="E442" i="11" s="1"/>
  <c r="P442" i="11" s="1"/>
  <c r="E327" i="11"/>
  <c r="P327" i="11" s="1"/>
  <c r="E324" i="11"/>
  <c r="P324" i="11" s="1"/>
  <c r="I418" i="11"/>
  <c r="E418" i="11" s="1"/>
  <c r="P418" i="11" s="1"/>
  <c r="I417" i="11"/>
  <c r="E417" i="11" s="1"/>
  <c r="P417" i="11" s="1"/>
  <c r="I420" i="11"/>
  <c r="E420" i="11" s="1"/>
  <c r="P420" i="11" s="1"/>
  <c r="I445" i="11"/>
  <c r="E445" i="11" s="1"/>
  <c r="P445" i="11" s="1"/>
  <c r="F25" i="11"/>
  <c r="E25" i="11" s="1"/>
  <c r="G26" i="11"/>
  <c r="F26" i="11" s="1"/>
  <c r="E26" i="11" s="1"/>
  <c r="P26" i="11" s="1"/>
  <c r="G34" i="11"/>
  <c r="G30" i="11"/>
  <c r="G234" i="11"/>
  <c r="F234" i="11" s="1"/>
  <c r="E234" i="11" s="1"/>
  <c r="P234" i="11" s="1"/>
  <c r="F233" i="11"/>
  <c r="E233" i="11" s="1"/>
  <c r="G242" i="11"/>
  <c r="G238" i="11"/>
  <c r="K28" i="13"/>
  <c r="T28" i="13"/>
  <c r="AC28" i="13"/>
  <c r="I28" i="13"/>
  <c r="T54" i="13"/>
  <c r="AC54" i="13"/>
  <c r="K54" i="13"/>
  <c r="I54" i="13"/>
  <c r="G92" i="11"/>
  <c r="F92" i="11" s="1"/>
  <c r="E92" i="11" s="1"/>
  <c r="P92" i="11" s="1"/>
  <c r="F91" i="11"/>
  <c r="E91" i="11" s="1"/>
  <c r="P91" i="11" s="1"/>
  <c r="G100" i="11"/>
  <c r="G96" i="11"/>
  <c r="G76" i="11"/>
  <c r="F76" i="11" s="1"/>
  <c r="E76" i="11" s="1"/>
  <c r="P76" i="11" s="1"/>
  <c r="F75" i="11"/>
  <c r="E75" i="11" s="1"/>
  <c r="P75" i="11" s="1"/>
  <c r="G84" i="11"/>
  <c r="G80" i="11"/>
  <c r="AC31" i="13"/>
  <c r="T31" i="13"/>
  <c r="K31" i="13"/>
  <c r="I31" i="13"/>
  <c r="E58" i="9" s="1"/>
  <c r="G218" i="11"/>
  <c r="F218" i="11" s="1"/>
  <c r="E218" i="11" s="1"/>
  <c r="P218" i="11" s="1"/>
  <c r="F217" i="11"/>
  <c r="E217" i="11" s="1"/>
  <c r="G226" i="11"/>
  <c r="G222" i="11"/>
  <c r="G224" i="11"/>
  <c r="G206" i="11"/>
  <c r="G112" i="11"/>
  <c r="G142" i="11"/>
  <c r="G240" i="11"/>
  <c r="G16" i="11"/>
  <c r="G126" i="11"/>
  <c r="E81" i="9"/>
  <c r="I57" i="13"/>
  <c r="E84" i="9" s="1"/>
  <c r="G407" i="11"/>
  <c r="G306" i="11"/>
  <c r="I350" i="11"/>
  <c r="E350" i="11" s="1"/>
  <c r="P350" i="11" s="1"/>
  <c r="I409" i="11"/>
  <c r="E409" i="11" s="1"/>
  <c r="P409" i="11" s="1"/>
  <c r="I401" i="11"/>
  <c r="E401" i="11" s="1"/>
  <c r="P401" i="11" s="1"/>
  <c r="J368" i="11"/>
  <c r="I386" i="11"/>
  <c r="E386" i="11" s="1"/>
  <c r="P386" i="11" s="1"/>
  <c r="I384" i="11"/>
  <c r="E384" i="11" s="1"/>
  <c r="P384" i="11" s="1"/>
  <c r="I369" i="11"/>
  <c r="E369" i="11" s="1"/>
  <c r="P369" i="11" s="1"/>
  <c r="I398" i="11"/>
  <c r="E398" i="11" s="1"/>
  <c r="P398" i="11" s="1"/>
  <c r="I375" i="11"/>
  <c r="E375" i="11" s="1"/>
  <c r="P375" i="11" s="1"/>
  <c r="I414" i="11"/>
  <c r="E414" i="11" s="1"/>
  <c r="P414" i="11" s="1"/>
  <c r="I380" i="11"/>
  <c r="E380" i="11" s="1"/>
  <c r="P380" i="11" s="1"/>
  <c r="I402" i="11"/>
  <c r="E402" i="11" s="1"/>
  <c r="P402" i="11" s="1"/>
  <c r="I353" i="11"/>
  <c r="I357" i="11"/>
  <c r="I355" i="11"/>
  <c r="I356" i="11"/>
  <c r="I32" i="13"/>
  <c r="T32" i="13"/>
  <c r="AC32" i="13"/>
  <c r="K32" i="13"/>
  <c r="F105" i="11"/>
  <c r="E105" i="11" s="1"/>
  <c r="G106" i="11"/>
  <c r="F106" i="11" s="1"/>
  <c r="E106" i="11" s="1"/>
  <c r="P106" i="11" s="1"/>
  <c r="G114" i="11"/>
  <c r="G110" i="11"/>
  <c r="F185" i="11"/>
  <c r="E185" i="11" s="1"/>
  <c r="G186" i="11"/>
  <c r="F186" i="11" s="1"/>
  <c r="E186" i="11" s="1"/>
  <c r="P186" i="11" s="1"/>
  <c r="G194" i="11"/>
  <c r="G190" i="11"/>
  <c r="Q12" i="13"/>
  <c r="R12" i="13" s="1"/>
  <c r="Q8" i="13"/>
  <c r="R8" i="13" s="1"/>
  <c r="Q10" i="13"/>
  <c r="Q11" i="13"/>
  <c r="Q9" i="13"/>
  <c r="R9" i="13" s="1"/>
  <c r="Q6" i="13"/>
  <c r="Q7" i="13"/>
  <c r="R7" i="13" s="1"/>
  <c r="L13" i="13"/>
  <c r="F19" i="9" s="1"/>
  <c r="M13" i="13"/>
  <c r="F31" i="9" s="1"/>
  <c r="I427" i="11"/>
  <c r="E427" i="11" s="1"/>
  <c r="P427" i="11" s="1"/>
  <c r="I421" i="11"/>
  <c r="E421" i="11" s="1"/>
  <c r="P421" i="11" s="1"/>
  <c r="I430" i="11"/>
  <c r="I433" i="11"/>
  <c r="E433" i="11" s="1"/>
  <c r="P433" i="11" s="1"/>
  <c r="G154" i="11"/>
  <c r="F154" i="11" s="1"/>
  <c r="E154" i="11" s="1"/>
  <c r="P154" i="11" s="1"/>
  <c r="F153" i="11"/>
  <c r="E153" i="11" s="1"/>
  <c r="G162" i="11"/>
  <c r="G158" i="11"/>
  <c r="H52" i="9"/>
  <c r="F52" i="9"/>
  <c r="I52" i="9"/>
  <c r="E52" i="9"/>
  <c r="H28" i="11"/>
  <c r="H248" i="11"/>
  <c r="H36" i="11"/>
  <c r="H37" i="11" s="1"/>
  <c r="H32" i="11"/>
  <c r="H33" i="11" s="1"/>
  <c r="F203" i="11"/>
  <c r="E203" i="11" s="1"/>
  <c r="G204" i="11"/>
  <c r="F204" i="11" s="1"/>
  <c r="E204" i="11" s="1"/>
  <c r="P204" i="11" s="1"/>
  <c r="G212" i="11"/>
  <c r="G208" i="11"/>
  <c r="G170" i="11"/>
  <c r="F170" i="11" s="1"/>
  <c r="E170" i="11" s="1"/>
  <c r="P170" i="11" s="1"/>
  <c r="F169" i="11"/>
  <c r="E169" i="11" s="1"/>
  <c r="G178" i="11"/>
  <c r="G174" i="11"/>
  <c r="I249" i="11"/>
  <c r="E249" i="11" s="1"/>
  <c r="P249" i="11" s="1"/>
  <c r="K267" i="11"/>
  <c r="K258" i="11"/>
  <c r="K266" i="11" s="1"/>
  <c r="I266" i="11" s="1"/>
  <c r="E266" i="11" s="1"/>
  <c r="P266" i="11" s="1"/>
  <c r="I256" i="11"/>
  <c r="I251" i="11"/>
  <c r="G140" i="11"/>
  <c r="F140" i="11" s="1"/>
  <c r="E140" i="11" s="1"/>
  <c r="P140" i="11" s="1"/>
  <c r="F139" i="11"/>
  <c r="E139" i="11" s="1"/>
  <c r="G148" i="11"/>
  <c r="G144" i="11"/>
  <c r="Q4" i="13"/>
  <c r="R4" i="13" s="1"/>
  <c r="P121" i="11"/>
  <c r="J250" i="11"/>
  <c r="I40" i="13"/>
  <c r="E67" i="9" s="1"/>
  <c r="G390" i="11"/>
  <c r="G289" i="11"/>
  <c r="E11" i="17"/>
  <c r="K11" i="17" s="1"/>
  <c r="I422" i="11"/>
  <c r="E422" i="11" s="1"/>
  <c r="P422" i="11" s="1"/>
  <c r="I437" i="11"/>
  <c r="E437" i="11" s="1"/>
  <c r="P437" i="11" s="1"/>
  <c r="I425" i="11"/>
  <c r="E425" i="11" s="1"/>
  <c r="P425" i="11" s="1"/>
  <c r="I426" i="11"/>
  <c r="E426" i="11" s="1"/>
  <c r="P426" i="11" s="1"/>
  <c r="G156" i="11"/>
  <c r="F156" i="11" s="1"/>
  <c r="E156" i="11" s="1"/>
  <c r="P156" i="11" s="1"/>
  <c r="F155" i="11"/>
  <c r="E155" i="11" s="1"/>
  <c r="P155" i="11" s="1"/>
  <c r="G164" i="11"/>
  <c r="G160" i="11"/>
  <c r="F171" i="11"/>
  <c r="E171" i="11" s="1"/>
  <c r="P171" i="11" s="1"/>
  <c r="G172" i="11"/>
  <c r="F172" i="11" s="1"/>
  <c r="E172" i="11" s="1"/>
  <c r="P172" i="11" s="1"/>
  <c r="G180" i="11"/>
  <c r="G176" i="11"/>
  <c r="F57" i="11"/>
  <c r="E57" i="11" s="1"/>
  <c r="G58" i="11"/>
  <c r="F58" i="11" s="1"/>
  <c r="E58" i="11" s="1"/>
  <c r="P58" i="11" s="1"/>
  <c r="G66" i="11"/>
  <c r="G62" i="11"/>
  <c r="F70" i="9"/>
  <c r="I70" i="9"/>
  <c r="E70" i="9"/>
  <c r="H70" i="9"/>
  <c r="K401" i="11"/>
  <c r="K285" i="11"/>
  <c r="K271" i="11"/>
  <c r="K384" i="11"/>
  <c r="K305" i="11"/>
  <c r="K310" i="11"/>
  <c r="K374" i="11"/>
  <c r="I374" i="11" s="1"/>
  <c r="E374" i="11" s="1"/>
  <c r="P374" i="11" s="1"/>
  <c r="K398" i="11"/>
  <c r="K402" i="11"/>
  <c r="K390" i="11"/>
  <c r="I390" i="11" s="1"/>
  <c r="K282" i="11"/>
  <c r="K303" i="11"/>
  <c r="K298" i="11"/>
  <c r="K380" i="11"/>
  <c r="K415" i="11"/>
  <c r="I415" i="11" s="1"/>
  <c r="E415" i="11" s="1"/>
  <c r="P415" i="11" s="1"/>
  <c r="K414" i="11"/>
  <c r="K273" i="11"/>
  <c r="K280" i="11"/>
  <c r="K450" i="11"/>
  <c r="I450" i="11" s="1"/>
  <c r="E450" i="11" s="1"/>
  <c r="P450" i="11" s="1"/>
  <c r="K278" i="11"/>
  <c r="K272" i="11"/>
  <c r="K286" i="11"/>
  <c r="K290" i="11"/>
  <c r="K397" i="11"/>
  <c r="I397" i="11" s="1"/>
  <c r="E397" i="11" s="1"/>
  <c r="P397" i="11" s="1"/>
  <c r="K295" i="11"/>
  <c r="K406" i="11"/>
  <c r="I406" i="11" s="1"/>
  <c r="E406" i="11" s="1"/>
  <c r="P406" i="11" s="1"/>
  <c r="K375" i="11"/>
  <c r="K412" i="11"/>
  <c r="I412" i="11" s="1"/>
  <c r="E412" i="11" s="1"/>
  <c r="P412" i="11" s="1"/>
  <c r="K372" i="11"/>
  <c r="I372" i="11" s="1"/>
  <c r="E372" i="11" s="1"/>
  <c r="P372" i="11" s="1"/>
  <c r="K379" i="11"/>
  <c r="I379" i="11" s="1"/>
  <c r="E379" i="11" s="1"/>
  <c r="P379" i="11" s="1"/>
  <c r="K281" i="11"/>
  <c r="K275" i="11"/>
  <c r="K314" i="11"/>
  <c r="K373" i="11"/>
  <c r="I373" i="11" s="1"/>
  <c r="E373" i="11" s="1"/>
  <c r="P373" i="11" s="1"/>
  <c r="K404" i="11"/>
  <c r="I404" i="11" s="1"/>
  <c r="E404" i="11" s="1"/>
  <c r="P404" i="11" s="1"/>
  <c r="K389" i="11"/>
  <c r="I389" i="11" s="1"/>
  <c r="E389" i="11" s="1"/>
  <c r="P389" i="11" s="1"/>
  <c r="K309" i="11"/>
  <c r="K288" i="11"/>
  <c r="K388" i="11"/>
  <c r="I388" i="11" s="1"/>
  <c r="E388" i="11" s="1"/>
  <c r="P388" i="11" s="1"/>
  <c r="K386" i="11"/>
  <c r="K387" i="11"/>
  <c r="I387" i="11" s="1"/>
  <c r="E387" i="11" s="1"/>
  <c r="P387" i="11" s="1"/>
  <c r="K292" i="11"/>
  <c r="K391" i="11"/>
  <c r="I391" i="11" s="1"/>
  <c r="E391" i="11" s="1"/>
  <c r="P391" i="11" s="1"/>
  <c r="K382" i="11"/>
  <c r="I382" i="11" s="1"/>
  <c r="E382" i="11" s="1"/>
  <c r="P382" i="11" s="1"/>
  <c r="K297" i="11"/>
  <c r="K294" i="11"/>
  <c r="K411" i="11"/>
  <c r="I411" i="11" s="1"/>
  <c r="E411" i="11" s="1"/>
  <c r="P411" i="11" s="1"/>
  <c r="K304" i="11"/>
  <c r="K299" i="11"/>
  <c r="K307" i="11"/>
  <c r="K269" i="11"/>
  <c r="K276" i="11"/>
  <c r="K405" i="11"/>
  <c r="I405" i="11" s="1"/>
  <c r="E405" i="11" s="1"/>
  <c r="P405" i="11" s="1"/>
  <c r="K283" i="11"/>
  <c r="K383" i="11"/>
  <c r="I383" i="11" s="1"/>
  <c r="E383" i="11" s="1"/>
  <c r="P383" i="11" s="1"/>
  <c r="K403" i="11"/>
  <c r="I403" i="11" s="1"/>
  <c r="E403" i="11" s="1"/>
  <c r="P403" i="11" s="1"/>
  <c r="K284" i="11"/>
  <c r="K293" i="11"/>
  <c r="K385" i="11"/>
  <c r="I385" i="11" s="1"/>
  <c r="E385" i="11" s="1"/>
  <c r="P385" i="11" s="1"/>
  <c r="K371" i="11"/>
  <c r="I371" i="11" s="1"/>
  <c r="K370" i="11"/>
  <c r="I370" i="11" s="1"/>
  <c r="K413" i="11"/>
  <c r="I413" i="11" s="1"/>
  <c r="E413" i="11" s="1"/>
  <c r="P413" i="11" s="1"/>
  <c r="K311" i="11"/>
  <c r="K302" i="11"/>
  <c r="K399" i="11"/>
  <c r="I399" i="11" s="1"/>
  <c r="E399" i="11" s="1"/>
  <c r="P399" i="11" s="1"/>
  <c r="K396" i="11"/>
  <c r="I396" i="11" s="1"/>
  <c r="E396" i="11" s="1"/>
  <c r="P396" i="11" s="1"/>
  <c r="K300" i="11"/>
  <c r="K408" i="11"/>
  <c r="I408" i="11" s="1"/>
  <c r="E408" i="11" s="1"/>
  <c r="P408" i="11" s="1"/>
  <c r="K274" i="11"/>
  <c r="K410" i="11"/>
  <c r="I410" i="11" s="1"/>
  <c r="E410" i="11" s="1"/>
  <c r="P410" i="11" s="1"/>
  <c r="K393" i="11"/>
  <c r="I393" i="11" s="1"/>
  <c r="E393" i="11" s="1"/>
  <c r="P393" i="11" s="1"/>
  <c r="K312" i="11"/>
  <c r="K306" i="11"/>
  <c r="I306" i="11" s="1"/>
  <c r="K349" i="11"/>
  <c r="I349" i="11" s="1"/>
  <c r="E349" i="11" s="1"/>
  <c r="P349" i="11" s="1"/>
  <c r="K270" i="11"/>
  <c r="K308" i="11"/>
  <c r="K301" i="11"/>
  <c r="K313" i="11"/>
  <c r="K376" i="11"/>
  <c r="I376" i="11" s="1"/>
  <c r="E376" i="11" s="1"/>
  <c r="P376" i="11" s="1"/>
  <c r="K394" i="11"/>
  <c r="I394" i="11" s="1"/>
  <c r="E394" i="11" s="1"/>
  <c r="P394" i="11" s="1"/>
  <c r="K407" i="11"/>
  <c r="I407" i="11" s="1"/>
  <c r="K400" i="11"/>
  <c r="I400" i="11" s="1"/>
  <c r="E400" i="11" s="1"/>
  <c r="P400" i="11" s="1"/>
  <c r="K392" i="11"/>
  <c r="I392" i="11" s="1"/>
  <c r="E392" i="11" s="1"/>
  <c r="P392" i="11" s="1"/>
  <c r="K289" i="11"/>
  <c r="K291" i="11"/>
  <c r="K377" i="11"/>
  <c r="I377" i="11" s="1"/>
  <c r="E377" i="11" s="1"/>
  <c r="P377" i="11" s="1"/>
  <c r="K287" i="11"/>
  <c r="K296" i="11"/>
  <c r="K381" i="11"/>
  <c r="I381" i="11" s="1"/>
  <c r="E381" i="11" s="1"/>
  <c r="P381" i="11" s="1"/>
  <c r="K395" i="11"/>
  <c r="I395" i="11" s="1"/>
  <c r="E395" i="11" s="1"/>
  <c r="P395" i="11" s="1"/>
  <c r="K358" i="11"/>
  <c r="I358" i="11" s="1"/>
  <c r="K279" i="11"/>
  <c r="K356" i="11"/>
  <c r="K378" i="11"/>
  <c r="I378" i="11" s="1"/>
  <c r="K253" i="11"/>
  <c r="K277" i="11"/>
  <c r="K354" i="11"/>
  <c r="I354" i="11" s="1"/>
  <c r="K252" i="11"/>
  <c r="I252" i="11" s="1"/>
  <c r="K357" i="11"/>
  <c r="K256" i="11"/>
  <c r="K257" i="11"/>
  <c r="I257" i="11" s="1"/>
  <c r="K255" i="11"/>
  <c r="I255" i="11" s="1"/>
  <c r="K254" i="11"/>
  <c r="I254" i="11" s="1"/>
  <c r="K353" i="11"/>
  <c r="J351" i="11"/>
  <c r="G147" i="11"/>
  <c r="F147" i="11" s="1"/>
  <c r="F146" i="11"/>
  <c r="F210" i="11"/>
  <c r="G211" i="11"/>
  <c r="F211" i="11" s="1"/>
  <c r="G270" i="11"/>
  <c r="I253" i="11"/>
  <c r="G42" i="11"/>
  <c r="F42" i="11" s="1"/>
  <c r="E42" i="11" s="1"/>
  <c r="P42" i="11" s="1"/>
  <c r="F41" i="11"/>
  <c r="E41" i="11" s="1"/>
  <c r="G50" i="11"/>
  <c r="G46" i="11"/>
  <c r="AA48" i="13"/>
  <c r="H75" i="9" s="1"/>
  <c r="I361" i="11"/>
  <c r="I360" i="11"/>
  <c r="E107" i="2"/>
  <c r="O107" i="2" s="1"/>
  <c r="I441" i="11"/>
  <c r="E441" i="11" s="1"/>
  <c r="P441" i="11" s="1"/>
  <c r="E66" i="2"/>
  <c r="O66" i="2" s="1"/>
  <c r="E80" i="2"/>
  <c r="O80" i="2" s="1"/>
  <c r="E323" i="11"/>
  <c r="P323" i="11" s="1"/>
  <c r="E104" i="2"/>
  <c r="O104" i="2" s="1"/>
  <c r="E21" i="2"/>
  <c r="O21" i="2" s="1"/>
  <c r="E344" i="11"/>
  <c r="P344" i="11" s="1"/>
  <c r="E84" i="2"/>
  <c r="O84" i="2" s="1"/>
  <c r="I423" i="11"/>
  <c r="E423" i="11" s="1"/>
  <c r="P423" i="11" s="1"/>
  <c r="I449" i="11"/>
  <c r="E449" i="11" s="1"/>
  <c r="P449" i="11" s="1"/>
  <c r="I435" i="11"/>
  <c r="E435" i="11" s="1"/>
  <c r="P435" i="11" s="1"/>
  <c r="K264" i="11"/>
  <c r="I264" i="11" s="1"/>
  <c r="K261" i="11"/>
  <c r="I261" i="11" s="1"/>
  <c r="K65" i="13"/>
  <c r="T65" i="13"/>
  <c r="I65" i="13"/>
  <c r="E92" i="9" s="1"/>
  <c r="AC65" i="13"/>
  <c r="E66" i="9"/>
  <c r="H66" i="9"/>
  <c r="F66" i="9"/>
  <c r="I66" i="9"/>
  <c r="D16" i="13"/>
  <c r="E34" i="9" s="1"/>
  <c r="H18" i="13"/>
  <c r="E44" i="9" s="1"/>
  <c r="D14" i="13"/>
  <c r="E32" i="9" s="1"/>
  <c r="H17" i="13"/>
  <c r="E43" i="9" s="1"/>
  <c r="D17" i="13"/>
  <c r="E35" i="9" s="1"/>
  <c r="D15" i="13"/>
  <c r="E33" i="9" s="1"/>
  <c r="D13" i="13"/>
  <c r="E31" i="9" s="1"/>
  <c r="H15" i="13"/>
  <c r="E41" i="9" s="1"/>
  <c r="D19" i="13"/>
  <c r="E37" i="9" s="1"/>
  <c r="D18" i="13"/>
  <c r="E36" i="9" s="1"/>
  <c r="H19" i="13"/>
  <c r="E45" i="9" s="1"/>
  <c r="H16" i="13"/>
  <c r="E42" i="9" s="1"/>
  <c r="H13" i="13"/>
  <c r="E39" i="9" s="1"/>
  <c r="H14" i="13"/>
  <c r="E40" i="9" s="1"/>
  <c r="K368" i="11"/>
  <c r="AA21" i="13"/>
  <c r="H48" i="9"/>
  <c r="F130" i="11"/>
  <c r="G131" i="11"/>
  <c r="F131" i="11" s="1"/>
  <c r="G371" i="11"/>
  <c r="K364" i="11"/>
  <c r="I364" i="11" s="1"/>
  <c r="F59" i="11"/>
  <c r="E59" i="11" s="1"/>
  <c r="P59" i="11" s="1"/>
  <c r="G60" i="11"/>
  <c r="F60" i="11" s="1"/>
  <c r="E60" i="11" s="1"/>
  <c r="P60" i="11" s="1"/>
  <c r="G68" i="11"/>
  <c r="G64" i="11"/>
  <c r="K50" i="13"/>
  <c r="AC50" i="13"/>
  <c r="T50" i="13"/>
  <c r="I50" i="13"/>
  <c r="E77" i="9" s="1"/>
  <c r="G124" i="11"/>
  <c r="F124" i="11" s="1"/>
  <c r="E124" i="11" s="1"/>
  <c r="P124" i="11" s="1"/>
  <c r="G132" i="11"/>
  <c r="F123" i="11"/>
  <c r="E123" i="11" s="1"/>
  <c r="P123" i="11" s="1"/>
  <c r="G128" i="11"/>
  <c r="G44" i="11"/>
  <c r="F44" i="11" s="1"/>
  <c r="E44" i="11" s="1"/>
  <c r="P44" i="11" s="1"/>
  <c r="F43" i="11"/>
  <c r="E43" i="11" s="1"/>
  <c r="P43" i="11" s="1"/>
  <c r="G52" i="11"/>
  <c r="G48" i="11"/>
  <c r="E318" i="11"/>
  <c r="P318" i="11" s="1"/>
  <c r="I419" i="11"/>
  <c r="E419" i="11" s="1"/>
  <c r="P419" i="11" s="1"/>
  <c r="I431" i="11"/>
  <c r="E431" i="11" s="1"/>
  <c r="P431" i="11" s="1"/>
  <c r="E113" i="2"/>
  <c r="O113" i="2" s="1"/>
  <c r="I439" i="11"/>
  <c r="E439" i="11" s="1"/>
  <c r="P439" i="11" s="1"/>
  <c r="I265" i="11"/>
  <c r="I416" i="11"/>
  <c r="E416" i="11" s="1"/>
  <c r="P416" i="11" s="1"/>
  <c r="I448" i="11"/>
  <c r="E448" i="11" s="1"/>
  <c r="P448" i="11" s="1"/>
  <c r="I434" i="11"/>
  <c r="E434" i="11" s="1"/>
  <c r="P434" i="11" s="1"/>
  <c r="E330" i="11"/>
  <c r="P330" i="11" s="1"/>
  <c r="E25" i="2"/>
  <c r="O25" i="2" s="1"/>
  <c r="E320" i="11"/>
  <c r="P320" i="11" s="1"/>
  <c r="E103" i="2"/>
  <c r="O103" i="2" s="1"/>
  <c r="I424" i="11"/>
  <c r="E424" i="11" s="1"/>
  <c r="P424" i="11" s="1"/>
  <c r="K365" i="11"/>
  <c r="I365" i="11" s="1"/>
  <c r="G90" i="11"/>
  <c r="F90" i="11" s="1"/>
  <c r="E90" i="11" s="1"/>
  <c r="P90" i="11" s="1"/>
  <c r="F89" i="11"/>
  <c r="E89" i="11" s="1"/>
  <c r="G98" i="11"/>
  <c r="G94" i="11"/>
  <c r="K34" i="13"/>
  <c r="T34" i="13"/>
  <c r="I34" i="13"/>
  <c r="E61" i="9" s="1"/>
  <c r="AC34" i="13"/>
  <c r="T64" i="13"/>
  <c r="I64" i="13"/>
  <c r="E91" i="9" s="1"/>
  <c r="AC64" i="13"/>
  <c r="K64" i="13"/>
  <c r="I86" i="9"/>
  <c r="E86" i="9"/>
  <c r="F86" i="9"/>
  <c r="H86" i="9"/>
  <c r="AC53" i="13"/>
  <c r="I53" i="13"/>
  <c r="E80" i="9" s="1"/>
  <c r="K53" i="13"/>
  <c r="T53" i="13"/>
  <c r="AA52" i="13"/>
  <c r="H79" i="9" s="1"/>
  <c r="K409" i="11"/>
  <c r="G117" i="11"/>
  <c r="F117" i="11" s="1"/>
  <c r="F116" i="11"/>
  <c r="K352" i="11"/>
  <c r="I352" i="11" s="1"/>
  <c r="K251" i="11"/>
  <c r="K260" i="11"/>
  <c r="I260" i="11" s="1"/>
  <c r="G74" i="11"/>
  <c r="F74" i="11" s="1"/>
  <c r="E74" i="11" s="1"/>
  <c r="P74" i="11" s="1"/>
  <c r="F73" i="11"/>
  <c r="E73" i="11" s="1"/>
  <c r="G82" i="11"/>
  <c r="G78" i="11"/>
  <c r="I366" i="11"/>
  <c r="G188" i="11"/>
  <c r="F188" i="11" s="1"/>
  <c r="E188" i="11" s="1"/>
  <c r="P188" i="11" s="1"/>
  <c r="F187" i="11"/>
  <c r="E187" i="11" s="1"/>
  <c r="P187" i="11" s="1"/>
  <c r="G196" i="11"/>
  <c r="G192" i="11"/>
  <c r="T42" i="13"/>
  <c r="K42" i="13"/>
  <c r="AC42" i="13"/>
  <c r="I42" i="13"/>
  <c r="E69" i="9" s="1"/>
  <c r="H87" i="9"/>
  <c r="I87" i="9"/>
  <c r="F87" i="9"/>
  <c r="E87" i="9"/>
  <c r="R48" i="13"/>
  <c r="F75" i="9"/>
  <c r="H64" i="9"/>
  <c r="F64" i="9"/>
  <c r="E64" i="9"/>
  <c r="I64" i="9"/>
  <c r="R47" i="13"/>
  <c r="F74" i="9"/>
  <c r="K36" i="13"/>
  <c r="AC36" i="13"/>
  <c r="I36" i="13"/>
  <c r="E63" i="9" s="1"/>
  <c r="T36" i="13"/>
  <c r="G10" i="11"/>
  <c r="F10" i="11" s="1"/>
  <c r="E10" i="11" s="1"/>
  <c r="P10" i="11" s="1"/>
  <c r="F9" i="11"/>
  <c r="E9" i="11" s="1"/>
  <c r="G18" i="11"/>
  <c r="G248" i="11"/>
  <c r="F248" i="11" s="1"/>
  <c r="E248" i="11" s="1"/>
  <c r="P248" i="11" s="1"/>
  <c r="G14" i="11"/>
  <c r="G269" i="11"/>
  <c r="G370" i="11"/>
  <c r="I20" i="13"/>
  <c r="E47" i="9" s="1"/>
  <c r="F244" i="11"/>
  <c r="G245" i="11"/>
  <c r="F245" i="11" s="1"/>
  <c r="K362" i="11"/>
  <c r="I362" i="11" s="1"/>
  <c r="I269" i="11"/>
  <c r="E23" i="2"/>
  <c r="O23" i="2" s="1"/>
  <c r="E322" i="11"/>
  <c r="P322" i="11" s="1"/>
  <c r="E430" i="11"/>
  <c r="P430" i="11" s="1"/>
  <c r="E81" i="17"/>
  <c r="K81" i="17" s="1"/>
  <c r="E74" i="2"/>
  <c r="O74" i="2" s="1"/>
  <c r="E59" i="2"/>
  <c r="O59" i="2" s="1"/>
  <c r="E328" i="11"/>
  <c r="P328" i="11" s="1"/>
  <c r="D21" i="16"/>
  <c r="E339" i="11"/>
  <c r="P339" i="11" s="1"/>
  <c r="E108" i="2"/>
  <c r="O108" i="2" s="1"/>
  <c r="E114" i="2"/>
  <c r="O114" i="2" s="1"/>
  <c r="E78" i="17"/>
  <c r="K78" i="17" s="1"/>
  <c r="E70" i="2"/>
  <c r="O70" i="2" s="1"/>
  <c r="E87" i="2"/>
  <c r="O87" i="2" s="1"/>
  <c r="D32" i="16"/>
  <c r="F10" i="17"/>
  <c r="E10" i="17" s="1"/>
  <c r="K10" i="17" s="1"/>
  <c r="F8" i="17"/>
  <c r="E8" i="17" s="1"/>
  <c r="K8" i="17" s="1"/>
  <c r="D28" i="16"/>
  <c r="E36" i="16"/>
  <c r="D36" i="16" s="1"/>
  <c r="D35" i="16"/>
  <c r="E85" i="2"/>
  <c r="O85" i="2" s="1"/>
  <c r="F44" i="17"/>
  <c r="E44" i="17" s="1"/>
  <c r="K44" i="17" s="1"/>
  <c r="D22" i="16"/>
  <c r="E93" i="2"/>
  <c r="O93" i="2" s="1"/>
  <c r="E42" i="2"/>
  <c r="O42" i="2" s="1"/>
  <c r="E24" i="2"/>
  <c r="O24" i="2" s="1"/>
  <c r="E63" i="2"/>
  <c r="O63" i="2" s="1"/>
  <c r="E62" i="2"/>
  <c r="O62" i="2" s="1"/>
  <c r="E49" i="2"/>
  <c r="O49" i="2" s="1"/>
  <c r="E79" i="2"/>
  <c r="O79" i="2" s="1"/>
  <c r="E33" i="2"/>
  <c r="O33" i="2" s="1"/>
  <c r="E35" i="2"/>
  <c r="O35" i="2" s="1"/>
  <c r="E17" i="2"/>
  <c r="O17" i="2" s="1"/>
  <c r="E45" i="2"/>
  <c r="O45" i="2" s="1"/>
  <c r="E52" i="2"/>
  <c r="O52" i="2" s="1"/>
  <c r="E60" i="2"/>
  <c r="O60" i="2" s="1"/>
  <c r="E39" i="2"/>
  <c r="O39" i="2" s="1"/>
  <c r="E40" i="2"/>
  <c r="O40" i="2" s="1"/>
  <c r="E27" i="2"/>
  <c r="O27" i="2" s="1"/>
  <c r="E28" i="2"/>
  <c r="O28" i="2" s="1"/>
  <c r="E56" i="2"/>
  <c r="O56" i="2" s="1"/>
  <c r="E54" i="2"/>
  <c r="O54" i="2" s="1"/>
  <c r="E73" i="2"/>
  <c r="O73" i="2" s="1"/>
  <c r="E51" i="2"/>
  <c r="O51" i="2" s="1"/>
  <c r="E55" i="2"/>
  <c r="O55" i="2" s="1"/>
  <c r="E16" i="2"/>
  <c r="O16" i="2" s="1"/>
  <c r="E67" i="2"/>
  <c r="O67" i="2" s="1"/>
  <c r="E61" i="2"/>
  <c r="O61" i="2" s="1"/>
  <c r="E18" i="2"/>
  <c r="O18" i="2" s="1"/>
  <c r="E53" i="2"/>
  <c r="O53" i="2" s="1"/>
  <c r="E31" i="2"/>
  <c r="O31" i="2" s="1"/>
  <c r="E46" i="2"/>
  <c r="O46" i="2" s="1"/>
  <c r="E76" i="2"/>
  <c r="O76" i="2" s="1"/>
  <c r="E65" i="2"/>
  <c r="O65" i="2" s="1"/>
  <c r="E34" i="2"/>
  <c r="O34" i="2" s="1"/>
  <c r="E57" i="2"/>
  <c r="O57" i="2" s="1"/>
  <c r="E72" i="2"/>
  <c r="O72" i="2" s="1"/>
  <c r="E58" i="2"/>
  <c r="O58" i="2" s="1"/>
  <c r="E29" i="2"/>
  <c r="O29" i="2" s="1"/>
  <c r="E64" i="2"/>
  <c r="O64" i="2" s="1"/>
  <c r="E15" i="2"/>
  <c r="O15" i="2" s="1"/>
  <c r="E22" i="2"/>
  <c r="O22" i="2" s="1"/>
  <c r="E11" i="2"/>
  <c r="O11" i="2" s="1"/>
  <c r="E78" i="2"/>
  <c r="O78" i="2" s="1"/>
  <c r="E50" i="2"/>
  <c r="O50" i="2" s="1"/>
  <c r="E77" i="2"/>
  <c r="O77" i="2" s="1"/>
  <c r="E12" i="2"/>
  <c r="O12" i="2" s="1"/>
  <c r="E26" i="2"/>
  <c r="O26" i="2" s="1"/>
  <c r="E38" i="2"/>
  <c r="O38" i="2" s="1"/>
  <c r="E41" i="2"/>
  <c r="O41" i="2" s="1"/>
  <c r="E19" i="2"/>
  <c r="O19" i="2" s="1"/>
  <c r="E47" i="2" l="1"/>
  <c r="O47" i="2" s="1"/>
  <c r="I351" i="11"/>
  <c r="H269" i="11"/>
  <c r="R20" i="13"/>
  <c r="F47" i="9" s="1"/>
  <c r="H370" i="11"/>
  <c r="G193" i="11"/>
  <c r="R50" i="13"/>
  <c r="F77" i="9" s="1"/>
  <c r="H352" i="11"/>
  <c r="H351" i="11" s="1"/>
  <c r="H251" i="11"/>
  <c r="H250" i="11" s="1"/>
  <c r="F126" i="11"/>
  <c r="G127" i="11"/>
  <c r="F127" i="11" s="1"/>
  <c r="R54" i="13"/>
  <c r="F81" i="9" s="1"/>
  <c r="G243" i="11"/>
  <c r="F243" i="11" s="1"/>
  <c r="F242" i="11"/>
  <c r="G19" i="11"/>
  <c r="F19" i="11" s="1"/>
  <c r="F18" i="11"/>
  <c r="AA53" i="13"/>
  <c r="H80" i="9" s="1"/>
  <c r="G65" i="11"/>
  <c r="G163" i="11"/>
  <c r="F163" i="11" s="1"/>
  <c r="F162" i="11"/>
  <c r="J359" i="11"/>
  <c r="AJ54" i="13"/>
  <c r="I81" i="9"/>
  <c r="E262" i="11"/>
  <c r="P262" i="11" s="1"/>
  <c r="P9" i="11"/>
  <c r="E8" i="11"/>
  <c r="P8" i="11" s="1"/>
  <c r="K250" i="11"/>
  <c r="R53" i="13"/>
  <c r="F80" i="9" s="1"/>
  <c r="AJ64" i="13"/>
  <c r="I91" i="9"/>
  <c r="F98" i="11"/>
  <c r="G99" i="11"/>
  <c r="F99" i="11" s="1"/>
  <c r="G69" i="11"/>
  <c r="F69" i="11" s="1"/>
  <c r="F68" i="11"/>
  <c r="G257" i="11"/>
  <c r="F257" i="11" s="1"/>
  <c r="E257" i="11" s="1"/>
  <c r="P257" i="11" s="1"/>
  <c r="G358" i="11"/>
  <c r="F358" i="11" s="1"/>
  <c r="E358" i="11" s="1"/>
  <c r="P358" i="11" s="1"/>
  <c r="G254" i="11"/>
  <c r="F254" i="11" s="1"/>
  <c r="E254" i="11" s="1"/>
  <c r="P254" i="11" s="1"/>
  <c r="G355" i="11"/>
  <c r="F355" i="11" s="1"/>
  <c r="E355" i="11" s="1"/>
  <c r="P355" i="11" s="1"/>
  <c r="R65" i="13"/>
  <c r="F92" i="9" s="1"/>
  <c r="E56" i="11"/>
  <c r="P56" i="11" s="1"/>
  <c r="P57" i="11"/>
  <c r="G145" i="11"/>
  <c r="I258" i="11"/>
  <c r="E258" i="11" s="1"/>
  <c r="P258" i="11" s="1"/>
  <c r="P169" i="11"/>
  <c r="E168" i="11"/>
  <c r="P168" i="11" s="1"/>
  <c r="P153" i="11"/>
  <c r="E152" i="11"/>
  <c r="P152" i="11" s="1"/>
  <c r="H371" i="11"/>
  <c r="R21" i="13"/>
  <c r="F48" i="9" s="1"/>
  <c r="H270" i="11"/>
  <c r="F270" i="11" s="1"/>
  <c r="E270" i="11" s="1"/>
  <c r="P270" i="11" s="1"/>
  <c r="G191" i="11"/>
  <c r="F59" i="9"/>
  <c r="R32" i="13"/>
  <c r="G241" i="11"/>
  <c r="F241" i="11" s="1"/>
  <c r="AA54" i="13"/>
  <c r="H81" i="9"/>
  <c r="K78" i="11"/>
  <c r="K206" i="11"/>
  <c r="K64" i="11"/>
  <c r="K224" i="11"/>
  <c r="K160" i="11"/>
  <c r="K158" i="11"/>
  <c r="K192" i="11"/>
  <c r="K190" i="11"/>
  <c r="K222" i="11"/>
  <c r="K144" i="11"/>
  <c r="K16" i="11"/>
  <c r="K112" i="11"/>
  <c r="K126" i="11"/>
  <c r="K14" i="11"/>
  <c r="K96" i="11"/>
  <c r="K208" i="11"/>
  <c r="K142" i="11"/>
  <c r="K238" i="11"/>
  <c r="K62" i="11"/>
  <c r="K48" i="11"/>
  <c r="K32" i="11"/>
  <c r="K128" i="11"/>
  <c r="K110" i="11"/>
  <c r="K46" i="11"/>
  <c r="K80" i="11"/>
  <c r="K240" i="11"/>
  <c r="K176" i="11"/>
  <c r="K94" i="11"/>
  <c r="K30" i="11"/>
  <c r="K174" i="11"/>
  <c r="E365" i="11"/>
  <c r="P365" i="11" s="1"/>
  <c r="G366" i="11"/>
  <c r="F366" i="11" s="1"/>
  <c r="E366" i="11" s="1"/>
  <c r="P366" i="11" s="1"/>
  <c r="G265" i="11"/>
  <c r="F265" i="11" s="1"/>
  <c r="G175" i="11"/>
  <c r="F158" i="11"/>
  <c r="G159" i="11"/>
  <c r="F159" i="11" s="1"/>
  <c r="G256" i="11"/>
  <c r="F256" i="11" s="1"/>
  <c r="E256" i="11" s="1"/>
  <c r="P256" i="11" s="1"/>
  <c r="G357" i="11"/>
  <c r="F357" i="11" s="1"/>
  <c r="E357" i="11" s="1"/>
  <c r="P357" i="11" s="1"/>
  <c r="H14" i="11"/>
  <c r="H15" i="11" s="1"/>
  <c r="H128" i="11"/>
  <c r="H129" i="11" s="1"/>
  <c r="H222" i="11"/>
  <c r="H223" i="11" s="1"/>
  <c r="H126" i="11"/>
  <c r="H127" i="11" s="1"/>
  <c r="H176" i="11"/>
  <c r="H177" i="11" s="1"/>
  <c r="H238" i="11"/>
  <c r="H239" i="11" s="1"/>
  <c r="H62" i="11"/>
  <c r="H63" i="11" s="1"/>
  <c r="H224" i="11"/>
  <c r="H225" i="11" s="1"/>
  <c r="H30" i="11"/>
  <c r="H31" i="11" s="1"/>
  <c r="H174" i="11"/>
  <c r="H175" i="11" s="1"/>
  <c r="H190" i="11"/>
  <c r="H191" i="11" s="1"/>
  <c r="H206" i="11"/>
  <c r="H207" i="11" s="1"/>
  <c r="H160" i="11"/>
  <c r="H161" i="11" s="1"/>
  <c r="H94" i="11"/>
  <c r="H95" i="11" s="1"/>
  <c r="H64" i="11"/>
  <c r="H65" i="11" s="1"/>
  <c r="H240" i="11"/>
  <c r="H241" i="11" s="1"/>
  <c r="H158" i="11"/>
  <c r="H159" i="11" s="1"/>
  <c r="H110" i="11"/>
  <c r="H111" i="11" s="1"/>
  <c r="H208" i="11"/>
  <c r="H209" i="11" s="1"/>
  <c r="H80" i="11"/>
  <c r="H81" i="11" s="1"/>
  <c r="H78" i="11"/>
  <c r="H79" i="11" s="1"/>
  <c r="H46" i="11"/>
  <c r="H47" i="11" s="1"/>
  <c r="H144" i="11"/>
  <c r="H145" i="11" s="1"/>
  <c r="H16" i="11"/>
  <c r="H17" i="11" s="1"/>
  <c r="H192" i="11"/>
  <c r="H193" i="11" s="1"/>
  <c r="H142" i="11"/>
  <c r="H143" i="11" s="1"/>
  <c r="H96" i="11"/>
  <c r="H97" i="11" s="1"/>
  <c r="H112" i="11"/>
  <c r="H113" i="11" s="1"/>
  <c r="H48" i="11"/>
  <c r="H49" i="11" s="1"/>
  <c r="P233" i="11"/>
  <c r="E232" i="11"/>
  <c r="P232" i="11" s="1"/>
  <c r="K18" i="11"/>
  <c r="K114" i="11"/>
  <c r="K50" i="11"/>
  <c r="K228" i="11"/>
  <c r="K36" i="11"/>
  <c r="K84" i="11"/>
  <c r="K164" i="11"/>
  <c r="K212" i="11"/>
  <c r="K20" i="11"/>
  <c r="K98" i="11"/>
  <c r="K226" i="11"/>
  <c r="K132" i="11"/>
  <c r="K100" i="11"/>
  <c r="K210" i="11"/>
  <c r="K178" i="11"/>
  <c r="K116" i="11"/>
  <c r="K82" i="11"/>
  <c r="K194" i="11"/>
  <c r="K162" i="11"/>
  <c r="K34" i="11"/>
  <c r="K52" i="11"/>
  <c r="K148" i="11"/>
  <c r="K180" i="11"/>
  <c r="K242" i="11"/>
  <c r="K68" i="11"/>
  <c r="K130" i="11"/>
  <c r="K146" i="11"/>
  <c r="K196" i="11"/>
  <c r="K66" i="11"/>
  <c r="K244" i="11"/>
  <c r="AJ24" i="13"/>
  <c r="I51" i="9"/>
  <c r="K351" i="11"/>
  <c r="K359" i="11" s="1"/>
  <c r="K367" i="11" s="1"/>
  <c r="E88" i="11"/>
  <c r="P88" i="11" s="1"/>
  <c r="P89" i="11"/>
  <c r="F132" i="11"/>
  <c r="G133" i="11"/>
  <c r="F133" i="11" s="1"/>
  <c r="G261" i="11"/>
  <c r="G362" i="11"/>
  <c r="G177" i="11"/>
  <c r="F176" i="11"/>
  <c r="G149" i="11"/>
  <c r="F149" i="11" s="1"/>
  <c r="F148" i="11"/>
  <c r="Q14" i="13"/>
  <c r="F40" i="9" s="1"/>
  <c r="R6" i="13"/>
  <c r="R28" i="13" s="1"/>
  <c r="F55" i="9" s="1"/>
  <c r="F194" i="11"/>
  <c r="G195" i="11"/>
  <c r="F195" i="11" s="1"/>
  <c r="AJ32" i="13"/>
  <c r="I59" i="9" s="1"/>
  <c r="G143" i="11"/>
  <c r="F143" i="11" s="1"/>
  <c r="F96" i="11"/>
  <c r="G97" i="11"/>
  <c r="F97" i="11" s="1"/>
  <c r="G31" i="11"/>
  <c r="F31" i="11" s="1"/>
  <c r="F30" i="11"/>
  <c r="AJ22" i="13"/>
  <c r="I49" i="9" s="1"/>
  <c r="F32" i="11"/>
  <c r="G33" i="11"/>
  <c r="F33" i="11" s="1"/>
  <c r="G252" i="11"/>
  <c r="F252" i="11" s="1"/>
  <c r="E252" i="11" s="1"/>
  <c r="P252" i="11" s="1"/>
  <c r="G353" i="11"/>
  <c r="F353" i="11" s="1"/>
  <c r="E353" i="11" s="1"/>
  <c r="P353" i="11" s="1"/>
  <c r="E40" i="11"/>
  <c r="P40" i="11" s="1"/>
  <c r="P41" i="11"/>
  <c r="F66" i="11"/>
  <c r="G67" i="11"/>
  <c r="F67" i="11" s="1"/>
  <c r="G197" i="11"/>
  <c r="F197" i="11" s="1"/>
  <c r="F196" i="11"/>
  <c r="F128" i="11"/>
  <c r="G129" i="11"/>
  <c r="AA36" i="13"/>
  <c r="H63" i="9"/>
  <c r="G352" i="11"/>
  <c r="G251" i="11"/>
  <c r="F180" i="11"/>
  <c r="G181" i="11"/>
  <c r="F181" i="11" s="1"/>
  <c r="P139" i="11"/>
  <c r="E136" i="11"/>
  <c r="P136" i="11" s="1"/>
  <c r="G209" i="11"/>
  <c r="F209" i="11" s="1"/>
  <c r="F208" i="11"/>
  <c r="AA32" i="13"/>
  <c r="H59" i="9"/>
  <c r="G113" i="11"/>
  <c r="F113" i="11" s="1"/>
  <c r="F112" i="11"/>
  <c r="R31" i="13"/>
  <c r="F58" i="9" s="1"/>
  <c r="G101" i="11"/>
  <c r="F101" i="11" s="1"/>
  <c r="F100" i="11"/>
  <c r="AJ28" i="13"/>
  <c r="I55" i="9"/>
  <c r="F34" i="11"/>
  <c r="G35" i="11"/>
  <c r="F35" i="11" s="1"/>
  <c r="AA22" i="13"/>
  <c r="H49" i="9" s="1"/>
  <c r="G37" i="11"/>
  <c r="F37" i="11" s="1"/>
  <c r="F36" i="11"/>
  <c r="F160" i="11"/>
  <c r="G161" i="11"/>
  <c r="F161" i="11" s="1"/>
  <c r="R24" i="13"/>
  <c r="F51" i="9" s="1"/>
  <c r="G95" i="11"/>
  <c r="AJ53" i="13"/>
  <c r="I80" i="9"/>
  <c r="F370" i="11"/>
  <c r="E370" i="11" s="1"/>
  <c r="P370" i="11" s="1"/>
  <c r="AJ42" i="13"/>
  <c r="I69" i="9" s="1"/>
  <c r="G79" i="11"/>
  <c r="F79" i="11" s="1"/>
  <c r="G49" i="11"/>
  <c r="G253" i="11"/>
  <c r="F253" i="11" s="1"/>
  <c r="E253" i="11" s="1"/>
  <c r="P253" i="11" s="1"/>
  <c r="G354" i="11"/>
  <c r="F354" i="11" s="1"/>
  <c r="E354" i="11" s="1"/>
  <c r="P354" i="11" s="1"/>
  <c r="I250" i="11"/>
  <c r="I312" i="11"/>
  <c r="E312" i="11" s="1"/>
  <c r="P312" i="11" s="1"/>
  <c r="I271" i="11"/>
  <c r="E271" i="11" s="1"/>
  <c r="P271" i="11" s="1"/>
  <c r="I311" i="11"/>
  <c r="E311" i="11" s="1"/>
  <c r="P311" i="11" s="1"/>
  <c r="I308" i="11"/>
  <c r="E308" i="11" s="1"/>
  <c r="P308" i="11" s="1"/>
  <c r="I313" i="11"/>
  <c r="E313" i="11" s="1"/>
  <c r="P313" i="11" s="1"/>
  <c r="I279" i="11"/>
  <c r="E279" i="11" s="1"/>
  <c r="P279" i="11" s="1"/>
  <c r="I274" i="11"/>
  <c r="E274" i="11" s="1"/>
  <c r="P274" i="11" s="1"/>
  <c r="I281" i="11"/>
  <c r="E281" i="11" s="1"/>
  <c r="P281" i="11" s="1"/>
  <c r="I309" i="11"/>
  <c r="E309" i="11" s="1"/>
  <c r="P309" i="11" s="1"/>
  <c r="I303" i="11"/>
  <c r="E303" i="11" s="1"/>
  <c r="P303" i="11" s="1"/>
  <c r="I302" i="11"/>
  <c r="E302" i="11" s="1"/>
  <c r="P302" i="11" s="1"/>
  <c r="I307" i="11"/>
  <c r="E307" i="11" s="1"/>
  <c r="P307" i="11" s="1"/>
  <c r="I310" i="11"/>
  <c r="E310" i="11" s="1"/>
  <c r="P310" i="11" s="1"/>
  <c r="I293" i="11"/>
  <c r="E293" i="11" s="1"/>
  <c r="P293" i="11" s="1"/>
  <c r="I299" i="11"/>
  <c r="E299" i="11" s="1"/>
  <c r="P299" i="11" s="1"/>
  <c r="I294" i="11"/>
  <c r="E294" i="11" s="1"/>
  <c r="P294" i="11" s="1"/>
  <c r="I273" i="11"/>
  <c r="E273" i="11" s="1"/>
  <c r="P273" i="11" s="1"/>
  <c r="I292" i="11"/>
  <c r="E292" i="11" s="1"/>
  <c r="P292" i="11" s="1"/>
  <c r="I278" i="11"/>
  <c r="E278" i="11" s="1"/>
  <c r="P278" i="11" s="1"/>
  <c r="I298" i="11"/>
  <c r="E298" i="11" s="1"/>
  <c r="P298" i="11" s="1"/>
  <c r="I295" i="11"/>
  <c r="E295" i="11" s="1"/>
  <c r="P295" i="11" s="1"/>
  <c r="I282" i="11"/>
  <c r="E282" i="11" s="1"/>
  <c r="P282" i="11" s="1"/>
  <c r="I300" i="11"/>
  <c r="E300" i="11" s="1"/>
  <c r="P300" i="11" s="1"/>
  <c r="I287" i="11"/>
  <c r="E287" i="11" s="1"/>
  <c r="P287" i="11" s="1"/>
  <c r="I280" i="11"/>
  <c r="E280" i="11" s="1"/>
  <c r="P280" i="11" s="1"/>
  <c r="I304" i="11"/>
  <c r="E304" i="11" s="1"/>
  <c r="P304" i="11" s="1"/>
  <c r="I276" i="11"/>
  <c r="E276" i="11" s="1"/>
  <c r="P276" i="11" s="1"/>
  <c r="I284" i="11"/>
  <c r="E284" i="11" s="1"/>
  <c r="P284" i="11" s="1"/>
  <c r="I296" i="11"/>
  <c r="E296" i="11" s="1"/>
  <c r="P296" i="11" s="1"/>
  <c r="I290" i="11"/>
  <c r="E290" i="11" s="1"/>
  <c r="P290" i="11" s="1"/>
  <c r="I297" i="11"/>
  <c r="E297" i="11" s="1"/>
  <c r="P297" i="11" s="1"/>
  <c r="I275" i="11"/>
  <c r="E275" i="11" s="1"/>
  <c r="P275" i="11" s="1"/>
  <c r="I301" i="11"/>
  <c r="E301" i="11" s="1"/>
  <c r="P301" i="11" s="1"/>
  <c r="I314" i="11"/>
  <c r="E314" i="11" s="1"/>
  <c r="P314" i="11" s="1"/>
  <c r="I291" i="11"/>
  <c r="E291" i="11" s="1"/>
  <c r="P291" i="11" s="1"/>
  <c r="I286" i="11"/>
  <c r="E286" i="11" s="1"/>
  <c r="P286" i="11" s="1"/>
  <c r="I288" i="11"/>
  <c r="E288" i="11" s="1"/>
  <c r="P288" i="11" s="1"/>
  <c r="I270" i="11"/>
  <c r="I267" i="11"/>
  <c r="E267" i="11" s="1"/>
  <c r="P267" i="11" s="1"/>
  <c r="I277" i="11"/>
  <c r="I268" i="11"/>
  <c r="E268" i="11" s="1"/>
  <c r="P268" i="11" s="1"/>
  <c r="I285" i="11"/>
  <c r="E285" i="11" s="1"/>
  <c r="P285" i="11" s="1"/>
  <c r="I305" i="11"/>
  <c r="E305" i="11" s="1"/>
  <c r="P305" i="11" s="1"/>
  <c r="F212" i="11"/>
  <c r="G213" i="11"/>
  <c r="F213" i="11" s="1"/>
  <c r="R11" i="13"/>
  <c r="Q17" i="13"/>
  <c r="F43" i="9" s="1"/>
  <c r="P185" i="11"/>
  <c r="E184" i="11"/>
  <c r="P184" i="11" s="1"/>
  <c r="F206" i="11"/>
  <c r="G207" i="11"/>
  <c r="F207" i="11" s="1"/>
  <c r="AA31" i="13"/>
  <c r="H58" i="9"/>
  <c r="AA28" i="13"/>
  <c r="H55" i="9" s="1"/>
  <c r="F28" i="11"/>
  <c r="E28" i="11" s="1"/>
  <c r="P28" i="11" s="1"/>
  <c r="G227" i="11"/>
  <c r="F227" i="11" s="1"/>
  <c r="F226" i="11"/>
  <c r="F84" i="11"/>
  <c r="G85" i="11"/>
  <c r="F85" i="11" s="1"/>
  <c r="E363" i="11"/>
  <c r="P363" i="11" s="1"/>
  <c r="F91" i="9"/>
  <c r="R64" i="13"/>
  <c r="AA65" i="13"/>
  <c r="H92" i="9" s="1"/>
  <c r="Q13" i="13"/>
  <c r="F39" i="9" s="1"/>
  <c r="G179" i="11"/>
  <c r="F179" i="11" s="1"/>
  <c r="F178" i="11"/>
  <c r="P105" i="11"/>
  <c r="E104" i="11"/>
  <c r="P104" i="11" s="1"/>
  <c r="F16" i="11"/>
  <c r="G17" i="11"/>
  <c r="F17" i="11" s="1"/>
  <c r="AA64" i="13"/>
  <c r="H91" i="9" s="1"/>
  <c r="AJ34" i="13"/>
  <c r="I61" i="9"/>
  <c r="R42" i="13"/>
  <c r="F69" i="9"/>
  <c r="F52" i="11"/>
  <c r="G53" i="11"/>
  <c r="F53" i="11" s="1"/>
  <c r="AA50" i="13"/>
  <c r="H77" i="9" s="1"/>
  <c r="F371" i="11"/>
  <c r="E371" i="11" s="1"/>
  <c r="P371" i="11" s="1"/>
  <c r="G259" i="11"/>
  <c r="G360" i="11"/>
  <c r="G255" i="11"/>
  <c r="F255" i="11" s="1"/>
  <c r="E255" i="11" s="1"/>
  <c r="P255" i="11" s="1"/>
  <c r="G356" i="11"/>
  <c r="F356" i="11" s="1"/>
  <c r="E356" i="11" s="1"/>
  <c r="P356" i="11" s="1"/>
  <c r="G47" i="11"/>
  <c r="R10" i="13"/>
  <c r="Q15" i="13"/>
  <c r="F41" i="9" s="1"/>
  <c r="F110" i="11"/>
  <c r="G111" i="11"/>
  <c r="F111" i="11" s="1"/>
  <c r="F224" i="11"/>
  <c r="G225" i="11"/>
  <c r="F225" i="11" s="1"/>
  <c r="AJ31" i="13"/>
  <c r="I58" i="9" s="1"/>
  <c r="P25" i="11"/>
  <c r="E24" i="11"/>
  <c r="P24" i="11" s="1"/>
  <c r="F49" i="9"/>
  <c r="R22" i="13"/>
  <c r="R34" i="13"/>
  <c r="F61" i="9" s="1"/>
  <c r="G264" i="11"/>
  <c r="F264" i="11" s="1"/>
  <c r="E264" i="11" s="1"/>
  <c r="P264" i="11" s="1"/>
  <c r="G365" i="11"/>
  <c r="F365" i="11" s="1"/>
  <c r="F164" i="11"/>
  <c r="G165" i="11"/>
  <c r="F165" i="11" s="1"/>
  <c r="P217" i="11"/>
  <c r="E216" i="11"/>
  <c r="P216" i="11" s="1"/>
  <c r="G260" i="11"/>
  <c r="G361" i="11"/>
  <c r="F269" i="11"/>
  <c r="E269" i="11" s="1"/>
  <c r="P269" i="11" s="1"/>
  <c r="AJ36" i="13"/>
  <c r="I63" i="9" s="1"/>
  <c r="G83" i="11"/>
  <c r="F83" i="11" s="1"/>
  <c r="F82" i="11"/>
  <c r="G15" i="11"/>
  <c r="F15" i="11" s="1"/>
  <c r="F14" i="11"/>
  <c r="R36" i="13"/>
  <c r="F63" i="9" s="1"/>
  <c r="H69" i="9"/>
  <c r="AA42" i="13"/>
  <c r="P73" i="11"/>
  <c r="E72" i="11"/>
  <c r="P72" i="11" s="1"/>
  <c r="AA34" i="13"/>
  <c r="H61" i="9" s="1"/>
  <c r="E265" i="11"/>
  <c r="P265" i="11" s="1"/>
  <c r="AJ50" i="13"/>
  <c r="I77" i="9"/>
  <c r="G363" i="11"/>
  <c r="F363" i="11" s="1"/>
  <c r="G262" i="11"/>
  <c r="F262" i="11" s="1"/>
  <c r="G364" i="11"/>
  <c r="G263" i="11"/>
  <c r="AJ65" i="13"/>
  <c r="I92" i="9"/>
  <c r="G51" i="11"/>
  <c r="F51" i="11" s="1"/>
  <c r="F50" i="11"/>
  <c r="G63" i="11"/>
  <c r="I283" i="11"/>
  <c r="E283" i="11" s="1"/>
  <c r="P283" i="11" s="1"/>
  <c r="E120" i="11"/>
  <c r="P120" i="11" s="1"/>
  <c r="I272" i="11"/>
  <c r="E272" i="11" s="1"/>
  <c r="P272" i="11" s="1"/>
  <c r="P203" i="11"/>
  <c r="E200" i="11"/>
  <c r="P200" i="11" s="1"/>
  <c r="G115" i="11"/>
  <c r="F115" i="11" s="1"/>
  <c r="F114" i="11"/>
  <c r="I368" i="11"/>
  <c r="E368" i="11" s="1"/>
  <c r="P368" i="11" s="1"/>
  <c r="I289" i="11"/>
  <c r="G223" i="11"/>
  <c r="F223" i="11" s="1"/>
  <c r="F222" i="11"/>
  <c r="F80" i="11"/>
  <c r="G81" i="11"/>
  <c r="F81" i="11" s="1"/>
  <c r="G239" i="11"/>
  <c r="H51" i="9"/>
  <c r="AA24" i="13"/>
  <c r="H364" i="11" l="1"/>
  <c r="H263" i="11"/>
  <c r="F263" i="11" s="1"/>
  <c r="E263" i="11" s="1"/>
  <c r="P263" i="11" s="1"/>
  <c r="E110" i="11"/>
  <c r="K111" i="11"/>
  <c r="I111" i="11" s="1"/>
  <c r="I110" i="11"/>
  <c r="I192" i="11"/>
  <c r="K193" i="11"/>
  <c r="I193" i="11" s="1"/>
  <c r="F145" i="11"/>
  <c r="H407" i="11"/>
  <c r="F407" i="11" s="1"/>
  <c r="E407" i="11" s="1"/>
  <c r="P407" i="11" s="1"/>
  <c r="H306" i="11"/>
  <c r="F306" i="11" s="1"/>
  <c r="E306" i="11" s="1"/>
  <c r="P306" i="11" s="1"/>
  <c r="R57" i="13"/>
  <c r="F84" i="9" s="1"/>
  <c r="H260" i="11"/>
  <c r="H361" i="11"/>
  <c r="F361" i="11" s="1"/>
  <c r="E361" i="11" s="1"/>
  <c r="P361" i="11" s="1"/>
  <c r="K181" i="11"/>
  <c r="I181" i="11" s="1"/>
  <c r="I180" i="11"/>
  <c r="E180" i="11" s="1"/>
  <c r="P180" i="11" s="1"/>
  <c r="K179" i="11"/>
  <c r="I179" i="11" s="1"/>
  <c r="I178" i="11"/>
  <c r="E178" i="11" s="1"/>
  <c r="P178" i="11" s="1"/>
  <c r="K97" i="11"/>
  <c r="I97" i="11" s="1"/>
  <c r="E97" i="11" s="1"/>
  <c r="P97" i="11" s="1"/>
  <c r="I96" i="11"/>
  <c r="H362" i="11"/>
  <c r="F362" i="11" s="1"/>
  <c r="E362" i="11" s="1"/>
  <c r="P362" i="11" s="1"/>
  <c r="H261" i="11"/>
  <c r="E213" i="11"/>
  <c r="P213" i="11" s="1"/>
  <c r="E36" i="11"/>
  <c r="P36" i="11" s="1"/>
  <c r="G250" i="11"/>
  <c r="F250" i="11" s="1"/>
  <c r="E250" i="11" s="1"/>
  <c r="P250" i="11" s="1"/>
  <c r="F251" i="11"/>
  <c r="E251" i="11" s="1"/>
  <c r="P251" i="11" s="1"/>
  <c r="F142" i="11"/>
  <c r="E148" i="11"/>
  <c r="P148" i="11" s="1"/>
  <c r="E133" i="11"/>
  <c r="P133" i="11" s="1"/>
  <c r="K245" i="11"/>
  <c r="I245" i="11" s="1"/>
  <c r="E245" i="11" s="1"/>
  <c r="P245" i="11" s="1"/>
  <c r="I244" i="11"/>
  <c r="E244" i="11" s="1"/>
  <c r="P244" i="11" s="1"/>
  <c r="K149" i="11"/>
  <c r="I149" i="11" s="1"/>
  <c r="E149" i="11" s="1"/>
  <c r="P149" i="11" s="1"/>
  <c r="I148" i="11"/>
  <c r="I210" i="11"/>
  <c r="E210" i="11" s="1"/>
  <c r="P210" i="11" s="1"/>
  <c r="K211" i="11"/>
  <c r="I211" i="11" s="1"/>
  <c r="E211" i="11" s="1"/>
  <c r="P211" i="11" s="1"/>
  <c r="K85" i="11"/>
  <c r="I85" i="11" s="1"/>
  <c r="E85" i="11" s="1"/>
  <c r="P85" i="11" s="1"/>
  <c r="I84" i="11"/>
  <c r="E159" i="11"/>
  <c r="K175" i="11"/>
  <c r="I175" i="11" s="1"/>
  <c r="I174" i="11"/>
  <c r="K129" i="11"/>
  <c r="I129" i="11" s="1"/>
  <c r="I128" i="11"/>
  <c r="I14" i="11"/>
  <c r="K15" i="11"/>
  <c r="I15" i="11" s="1"/>
  <c r="E15" i="11" s="1"/>
  <c r="K159" i="11"/>
  <c r="I159" i="11" s="1"/>
  <c r="I158" i="11"/>
  <c r="E158" i="11" s="1"/>
  <c r="E128" i="11"/>
  <c r="P128" i="11" s="1"/>
  <c r="I164" i="11"/>
  <c r="K165" i="11"/>
  <c r="I165" i="11" s="1"/>
  <c r="E165" i="11" s="1"/>
  <c r="P165" i="11" s="1"/>
  <c r="E223" i="11"/>
  <c r="E14" i="11"/>
  <c r="F260" i="11"/>
  <c r="E260" i="11" s="1"/>
  <c r="P260" i="11" s="1"/>
  <c r="R40" i="13"/>
  <c r="F67" i="9" s="1"/>
  <c r="H289" i="11"/>
  <c r="F289" i="11" s="1"/>
  <c r="E289" i="11" s="1"/>
  <c r="P289" i="11" s="1"/>
  <c r="H390" i="11"/>
  <c r="F390" i="11" s="1"/>
  <c r="E390" i="11" s="1"/>
  <c r="P390" i="11" s="1"/>
  <c r="E179" i="11"/>
  <c r="P179" i="11" s="1"/>
  <c r="E84" i="11"/>
  <c r="P84" i="11" s="1"/>
  <c r="F49" i="11"/>
  <c r="E49" i="11" s="1"/>
  <c r="P49" i="11" s="1"/>
  <c r="E37" i="11"/>
  <c r="P37" i="11" s="1"/>
  <c r="F352" i="11"/>
  <c r="E352" i="11" s="1"/>
  <c r="P352" i="11" s="1"/>
  <c r="G351" i="11"/>
  <c r="F351" i="11" s="1"/>
  <c r="E351" i="11" s="1"/>
  <c r="P351" i="11" s="1"/>
  <c r="E67" i="11"/>
  <c r="P67" i="11" s="1"/>
  <c r="K67" i="11"/>
  <c r="I67" i="11" s="1"/>
  <c r="I66" i="11"/>
  <c r="K53" i="11"/>
  <c r="I53" i="11" s="1"/>
  <c r="I52" i="11"/>
  <c r="K101" i="11"/>
  <c r="I101" i="11" s="1"/>
  <c r="E101" i="11" s="1"/>
  <c r="P101" i="11" s="1"/>
  <c r="I100" i="11"/>
  <c r="E100" i="11" s="1"/>
  <c r="P100" i="11" s="1"/>
  <c r="K37" i="11"/>
  <c r="I37" i="11" s="1"/>
  <c r="I36" i="11"/>
  <c r="K31" i="11"/>
  <c r="I31" i="11" s="1"/>
  <c r="I30" i="11"/>
  <c r="K33" i="11"/>
  <c r="I33" i="11" s="1"/>
  <c r="I32" i="11"/>
  <c r="E32" i="11" s="1"/>
  <c r="P32" i="11" s="1"/>
  <c r="K127" i="11"/>
  <c r="I127" i="11" s="1"/>
  <c r="E127" i="11" s="1"/>
  <c r="I126" i="11"/>
  <c r="E126" i="11" s="1"/>
  <c r="K161" i="11"/>
  <c r="I161" i="11" s="1"/>
  <c r="I160" i="11"/>
  <c r="F240" i="11"/>
  <c r="J367" i="11"/>
  <c r="I367" i="11" s="1"/>
  <c r="E367" i="11" s="1"/>
  <c r="P367" i="11" s="1"/>
  <c r="I359" i="11"/>
  <c r="E359" i="11" s="1"/>
  <c r="P359" i="11" s="1"/>
  <c r="E19" i="11"/>
  <c r="P19" i="11" s="1"/>
  <c r="E164" i="11"/>
  <c r="P164" i="11" s="1"/>
  <c r="F62" i="11"/>
  <c r="F364" i="11"/>
  <c r="E364" i="11" s="1"/>
  <c r="P364" i="11" s="1"/>
  <c r="H360" i="11"/>
  <c r="F360" i="11" s="1"/>
  <c r="E360" i="11" s="1"/>
  <c r="P360" i="11" s="1"/>
  <c r="H259" i="11"/>
  <c r="F259" i="11" s="1"/>
  <c r="E259" i="11" s="1"/>
  <c r="P259" i="11" s="1"/>
  <c r="E226" i="11"/>
  <c r="P226" i="11" s="1"/>
  <c r="F48" i="11"/>
  <c r="F95" i="11"/>
  <c r="E66" i="11"/>
  <c r="P66" i="11" s="1"/>
  <c r="K197" i="11"/>
  <c r="I197" i="11" s="1"/>
  <c r="E197" i="11" s="1"/>
  <c r="P197" i="11" s="1"/>
  <c r="I196" i="11"/>
  <c r="E196" i="11" s="1"/>
  <c r="P196" i="11" s="1"/>
  <c r="K35" i="11"/>
  <c r="I35" i="11" s="1"/>
  <c r="E35" i="11" s="1"/>
  <c r="P35" i="11" s="1"/>
  <c r="I34" i="11"/>
  <c r="K133" i="11"/>
  <c r="I133" i="11" s="1"/>
  <c r="I132" i="11"/>
  <c r="E132" i="11" s="1"/>
  <c r="P132" i="11" s="1"/>
  <c r="K229" i="11"/>
  <c r="I229" i="11" s="1"/>
  <c r="E229" i="11" s="1"/>
  <c r="P229" i="11" s="1"/>
  <c r="I228" i="11"/>
  <c r="E228" i="11" s="1"/>
  <c r="P228" i="11" s="1"/>
  <c r="F175" i="11"/>
  <c r="E175" i="11" s="1"/>
  <c r="K95" i="11"/>
  <c r="I95" i="11" s="1"/>
  <c r="I94" i="11"/>
  <c r="K49" i="11"/>
  <c r="I49" i="11" s="1"/>
  <c r="I48" i="11"/>
  <c r="K113" i="11"/>
  <c r="I113" i="11" s="1"/>
  <c r="E113" i="11" s="1"/>
  <c r="P113" i="11" s="1"/>
  <c r="I112" i="11"/>
  <c r="K225" i="11"/>
  <c r="I225" i="11" s="1"/>
  <c r="I224" i="11"/>
  <c r="E224" i="11" s="1"/>
  <c r="P224" i="11" s="1"/>
  <c r="E162" i="11"/>
  <c r="P162" i="11" s="1"/>
  <c r="E161" i="11"/>
  <c r="P161" i="11" s="1"/>
  <c r="H277" i="11"/>
  <c r="F277" i="11" s="1"/>
  <c r="E277" i="11" s="1"/>
  <c r="P277" i="11" s="1"/>
  <c r="H378" i="11"/>
  <c r="F378" i="11" s="1"/>
  <c r="E378" i="11" s="1"/>
  <c r="P378" i="11" s="1"/>
  <c r="K117" i="11"/>
  <c r="I117" i="11" s="1"/>
  <c r="E117" i="11" s="1"/>
  <c r="P117" i="11" s="1"/>
  <c r="I116" i="11"/>
  <c r="E116" i="11" s="1"/>
  <c r="P116" i="11" s="1"/>
  <c r="I212" i="11"/>
  <c r="E212" i="11" s="1"/>
  <c r="P212" i="11" s="1"/>
  <c r="K213" i="11"/>
  <c r="I213" i="11" s="1"/>
  <c r="K209" i="11"/>
  <c r="I209" i="11" s="1"/>
  <c r="E209" i="11" s="1"/>
  <c r="P209" i="11" s="1"/>
  <c r="I208" i="11"/>
  <c r="E208" i="11" s="1"/>
  <c r="P208" i="11" s="1"/>
  <c r="E33" i="11"/>
  <c r="P33" i="11" s="1"/>
  <c r="E114" i="11"/>
  <c r="P114" i="11" s="1"/>
  <c r="E206" i="11"/>
  <c r="E30" i="11"/>
  <c r="I146" i="11"/>
  <c r="E146" i="11" s="1"/>
  <c r="P146" i="11" s="1"/>
  <c r="K147" i="11"/>
  <c r="I147" i="11" s="1"/>
  <c r="E147" i="11" s="1"/>
  <c r="P147" i="11" s="1"/>
  <c r="K163" i="11"/>
  <c r="I163" i="11" s="1"/>
  <c r="I162" i="11"/>
  <c r="I226" i="11"/>
  <c r="K227" i="11"/>
  <c r="I227" i="11" s="1"/>
  <c r="K51" i="11"/>
  <c r="I51" i="11" s="1"/>
  <c r="E51" i="11" s="1"/>
  <c r="P51" i="11" s="1"/>
  <c r="I50" i="11"/>
  <c r="F174" i="11"/>
  <c r="E174" i="11" s="1"/>
  <c r="K177" i="11"/>
  <c r="I177" i="11" s="1"/>
  <c r="I176" i="11"/>
  <c r="E176" i="11" s="1"/>
  <c r="P176" i="11" s="1"/>
  <c r="K63" i="11"/>
  <c r="I63" i="11" s="1"/>
  <c r="I62" i="11"/>
  <c r="K17" i="11"/>
  <c r="I17" i="11" s="1"/>
  <c r="I16" i="11"/>
  <c r="K65" i="11"/>
  <c r="I65" i="11" s="1"/>
  <c r="I64" i="11"/>
  <c r="E163" i="11"/>
  <c r="P163" i="11" s="1"/>
  <c r="E243" i="11"/>
  <c r="P243" i="11" s="1"/>
  <c r="E96" i="11"/>
  <c r="P96" i="11" s="1"/>
  <c r="F144" i="11"/>
  <c r="F63" i="11"/>
  <c r="E82" i="11"/>
  <c r="P82" i="11" s="1"/>
  <c r="E227" i="11"/>
  <c r="P227" i="11" s="1"/>
  <c r="F94" i="11"/>
  <c r="F239" i="11"/>
  <c r="E239" i="11" s="1"/>
  <c r="E115" i="11"/>
  <c r="P115" i="11" s="1"/>
  <c r="E225" i="11"/>
  <c r="P225" i="11" s="1"/>
  <c r="F46" i="11"/>
  <c r="E53" i="11"/>
  <c r="P53" i="11" s="1"/>
  <c r="E17" i="11"/>
  <c r="P17" i="11" s="1"/>
  <c r="F78" i="11"/>
  <c r="E78" i="11" s="1"/>
  <c r="E112" i="11"/>
  <c r="P112" i="11" s="1"/>
  <c r="E31" i="11"/>
  <c r="F177" i="11"/>
  <c r="E177" i="11" s="1"/>
  <c r="P177" i="11" s="1"/>
  <c r="K131" i="11"/>
  <c r="I131" i="11" s="1"/>
  <c r="E131" i="11" s="1"/>
  <c r="P131" i="11" s="1"/>
  <c r="I130" i="11"/>
  <c r="E130" i="11" s="1"/>
  <c r="P130" i="11" s="1"/>
  <c r="K195" i="11"/>
  <c r="I195" i="11" s="1"/>
  <c r="E195" i="11" s="1"/>
  <c r="P195" i="11" s="1"/>
  <c r="I194" i="11"/>
  <c r="E194" i="11" s="1"/>
  <c r="P194" i="11" s="1"/>
  <c r="K99" i="11"/>
  <c r="I99" i="11" s="1"/>
  <c r="E99" i="11" s="1"/>
  <c r="P99" i="11" s="1"/>
  <c r="I98" i="11"/>
  <c r="I114" i="11"/>
  <c r="K115" i="11"/>
  <c r="I115" i="11" s="1"/>
  <c r="K241" i="11"/>
  <c r="I241" i="11" s="1"/>
  <c r="E241" i="11" s="1"/>
  <c r="P241" i="11" s="1"/>
  <c r="I240" i="11"/>
  <c r="K239" i="11"/>
  <c r="I239" i="11" s="1"/>
  <c r="I238" i="11"/>
  <c r="K145" i="11"/>
  <c r="I145" i="11" s="1"/>
  <c r="I144" i="11"/>
  <c r="K207" i="11"/>
  <c r="I207" i="11" s="1"/>
  <c r="E207" i="11" s="1"/>
  <c r="I206" i="11"/>
  <c r="F190" i="11"/>
  <c r="F64" i="11"/>
  <c r="E64" i="11" s="1"/>
  <c r="P64" i="11" s="1"/>
  <c r="F192" i="11"/>
  <c r="E192" i="11" s="1"/>
  <c r="P192" i="11" s="1"/>
  <c r="E111" i="11"/>
  <c r="K243" i="11"/>
  <c r="I243" i="11" s="1"/>
  <c r="I242" i="11"/>
  <c r="E242" i="11" s="1"/>
  <c r="P242" i="11" s="1"/>
  <c r="K47" i="11"/>
  <c r="I47" i="11" s="1"/>
  <c r="I46" i="11"/>
  <c r="K191" i="11"/>
  <c r="I191" i="11" s="1"/>
  <c r="I190" i="11"/>
  <c r="E160" i="11"/>
  <c r="P160" i="11" s="1"/>
  <c r="F261" i="11"/>
  <c r="E261" i="11" s="1"/>
  <c r="P261" i="11" s="1"/>
  <c r="F238" i="11"/>
  <c r="F47" i="11"/>
  <c r="E50" i="11"/>
  <c r="P50" i="11" s="1"/>
  <c r="E52" i="11"/>
  <c r="P52" i="11" s="1"/>
  <c r="E16" i="11"/>
  <c r="P16" i="11" s="1"/>
  <c r="E34" i="11"/>
  <c r="P34" i="11" s="1"/>
  <c r="E181" i="11"/>
  <c r="P181" i="11" s="1"/>
  <c r="F129" i="11"/>
  <c r="E129" i="11" s="1"/>
  <c r="P129" i="11" s="1"/>
  <c r="K69" i="11"/>
  <c r="I69" i="11" s="1"/>
  <c r="E69" i="11" s="1"/>
  <c r="P69" i="11" s="1"/>
  <c r="I68" i="11"/>
  <c r="E68" i="11" s="1"/>
  <c r="P68" i="11" s="1"/>
  <c r="K83" i="11"/>
  <c r="I83" i="11" s="1"/>
  <c r="E83" i="11" s="1"/>
  <c r="P83" i="11" s="1"/>
  <c r="I82" i="11"/>
  <c r="K21" i="11"/>
  <c r="I21" i="11" s="1"/>
  <c r="E21" i="11" s="1"/>
  <c r="P21" i="11" s="1"/>
  <c r="I20" i="11"/>
  <c r="E20" i="11" s="1"/>
  <c r="P20" i="11" s="1"/>
  <c r="K19" i="11"/>
  <c r="I19" i="11" s="1"/>
  <c r="I18" i="11"/>
  <c r="E18" i="11" s="1"/>
  <c r="P18" i="11" s="1"/>
  <c r="K81" i="11"/>
  <c r="I81" i="11" s="1"/>
  <c r="E81" i="11" s="1"/>
  <c r="P81" i="11" s="1"/>
  <c r="I80" i="11"/>
  <c r="E80" i="11" s="1"/>
  <c r="P80" i="11" s="1"/>
  <c r="K143" i="11"/>
  <c r="I143" i="11" s="1"/>
  <c r="E143" i="11" s="1"/>
  <c r="I142" i="11"/>
  <c r="I222" i="11"/>
  <c r="E222" i="11" s="1"/>
  <c r="K223" i="11"/>
  <c r="I223" i="11" s="1"/>
  <c r="I78" i="11"/>
  <c r="K79" i="11"/>
  <c r="I79" i="11" s="1"/>
  <c r="E79" i="11" s="1"/>
  <c r="F191" i="11"/>
  <c r="E191" i="11" s="1"/>
  <c r="E98" i="11"/>
  <c r="P98" i="11" s="1"/>
  <c r="F65" i="11"/>
  <c r="E65" i="11" s="1"/>
  <c r="P65" i="11" s="1"/>
  <c r="F193" i="11"/>
  <c r="E193" i="11" s="1"/>
  <c r="P193" i="11" s="1"/>
  <c r="E87" i="11" l="1"/>
  <c r="P87" i="11" s="1"/>
  <c r="P79" i="11"/>
  <c r="E230" i="11"/>
  <c r="P230" i="11" s="1"/>
  <c r="P222" i="11"/>
  <c r="E221" i="11"/>
  <c r="P221" i="11" s="1"/>
  <c r="E157" i="11"/>
  <c r="P157" i="11" s="1"/>
  <c r="E166" i="11"/>
  <c r="P166" i="11" s="1"/>
  <c r="P158" i="11"/>
  <c r="E151" i="11"/>
  <c r="P151" i="11" s="1"/>
  <c r="P143" i="11"/>
  <c r="E215" i="11"/>
  <c r="P215" i="11" s="1"/>
  <c r="P207" i="11"/>
  <c r="P126" i="11"/>
  <c r="E134" i="11"/>
  <c r="P134" i="11" s="1"/>
  <c r="E125" i="11"/>
  <c r="P125" i="11" s="1"/>
  <c r="E23" i="11"/>
  <c r="P23" i="11" s="1"/>
  <c r="P15" i="11"/>
  <c r="P127" i="11"/>
  <c r="E135" i="11"/>
  <c r="P135" i="11" s="1"/>
  <c r="E46" i="11"/>
  <c r="E29" i="11"/>
  <c r="P29" i="11" s="1"/>
  <c r="P30" i="11"/>
  <c r="E38" i="11"/>
  <c r="P38" i="11" s="1"/>
  <c r="E238" i="11"/>
  <c r="P31" i="11"/>
  <c r="E39" i="11"/>
  <c r="P39" i="11" s="1"/>
  <c r="E144" i="11"/>
  <c r="P144" i="11" s="1"/>
  <c r="E231" i="11"/>
  <c r="P231" i="11" s="1"/>
  <c r="P223" i="11"/>
  <c r="P159" i="11"/>
  <c r="E167" i="11"/>
  <c r="P167" i="11" s="1"/>
  <c r="P175" i="11"/>
  <c r="E183" i="11"/>
  <c r="P183" i="11" s="1"/>
  <c r="E118" i="11"/>
  <c r="P118" i="11" s="1"/>
  <c r="P110" i="11"/>
  <c r="E109" i="11"/>
  <c r="P109" i="11" s="1"/>
  <c r="E142" i="11"/>
  <c r="E119" i="11"/>
  <c r="P119" i="11" s="1"/>
  <c r="P111" i="11"/>
  <c r="P78" i="11"/>
  <c r="E77" i="11"/>
  <c r="P77" i="11" s="1"/>
  <c r="E86" i="11"/>
  <c r="P86" i="11" s="1"/>
  <c r="E190" i="11"/>
  <c r="E173" i="11"/>
  <c r="P173" i="11" s="1"/>
  <c r="P174" i="11"/>
  <c r="E182" i="11"/>
  <c r="P182" i="11" s="1"/>
  <c r="E240" i="11"/>
  <c r="P240" i="11" s="1"/>
  <c r="E145" i="11"/>
  <c r="P145" i="11" s="1"/>
  <c r="E205" i="11"/>
  <c r="P205" i="11" s="1"/>
  <c r="E214" i="11"/>
  <c r="P214" i="11" s="1"/>
  <c r="P206" i="11"/>
  <c r="P191" i="11"/>
  <c r="E199" i="11"/>
  <c r="P199" i="11" s="1"/>
  <c r="E63" i="11"/>
  <c r="E95" i="11"/>
  <c r="E62" i="11"/>
  <c r="P239" i="11"/>
  <c r="E247" i="11"/>
  <c r="P247" i="11" s="1"/>
  <c r="E94" i="11"/>
  <c r="E47" i="11"/>
  <c r="E48" i="11"/>
  <c r="P48" i="11" s="1"/>
  <c r="E22" i="11"/>
  <c r="P22" i="11" s="1"/>
  <c r="E13" i="11"/>
  <c r="P13" i="11" s="1"/>
  <c r="P14" i="11"/>
  <c r="E70" i="11" l="1"/>
  <c r="P70" i="11" s="1"/>
  <c r="P62" i="11"/>
  <c r="E61" i="11"/>
  <c r="P61" i="11" s="1"/>
  <c r="E246" i="11"/>
  <c r="P246" i="11" s="1"/>
  <c r="P238" i="11"/>
  <c r="E237" i="11"/>
  <c r="P237" i="11" s="1"/>
  <c r="P142" i="11"/>
  <c r="E150" i="11"/>
  <c r="P150" i="11" s="1"/>
  <c r="E141" i="11"/>
  <c r="P141" i="11" s="1"/>
  <c r="E55" i="11"/>
  <c r="P55" i="11" s="1"/>
  <c r="P47" i="11"/>
  <c r="P46" i="11"/>
  <c r="E54" i="11"/>
  <c r="P54" i="11" s="1"/>
  <c r="E45" i="11"/>
  <c r="P45" i="11" s="1"/>
  <c r="E103" i="11"/>
  <c r="P103" i="11" s="1"/>
  <c r="P95" i="11"/>
  <c r="E71" i="11"/>
  <c r="P71" i="11" s="1"/>
  <c r="P63" i="11"/>
  <c r="E93" i="11"/>
  <c r="P93" i="11" s="1"/>
  <c r="P94" i="11"/>
  <c r="E102" i="11"/>
  <c r="P102" i="11" s="1"/>
  <c r="P190" i="11"/>
  <c r="E189" i="11"/>
  <c r="P189" i="11" s="1"/>
  <c r="E198" i="11"/>
  <c r="P198" i="11" s="1"/>
</calcChain>
</file>

<file path=xl/comments1.xml><?xml version="1.0" encoding="utf-8"?>
<comments xmlns="http://schemas.openxmlformats.org/spreadsheetml/2006/main">
  <authors>
    <author>Болковой Александр Алексеевич</author>
  </authors>
  <commentList>
    <comment ref="G5" authorId="0" shapeId="0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Иноземцева Александра Алексеевна</author>
  </authors>
  <commentList>
    <comment ref="B4" authorId="0" shapeId="0">
      <text>
        <r>
          <rPr>
            <sz val="9"/>
            <color indexed="81"/>
            <rFont val="Tahoma"/>
            <family val="2"/>
            <charset val="204"/>
          </rPr>
          <t xml:space="preserve">Вводить ссылкой на таблицу "грунты" через "="
</t>
        </r>
      </text>
    </comment>
    <comment ref="K4" authorId="0" shapeId="0">
      <text>
        <r>
          <rPr>
            <sz val="9"/>
            <color indexed="81"/>
            <rFont val="Tahoma"/>
            <family val="2"/>
            <charset val="204"/>
          </rPr>
          <t xml:space="preserve">Вводить ссылкой на таблицу "грунты" через "="
</t>
        </r>
      </text>
    </comment>
  </commentList>
</comments>
</file>

<file path=xl/comments3.xml><?xml version="1.0" encoding="utf-8"?>
<comments xmlns="http://schemas.openxmlformats.org/spreadsheetml/2006/main">
  <authors>
    <author>Иноземцева Александра Алексеевна</author>
  </authors>
  <commentList>
    <comment ref="E13" authorId="0" shapeId="0">
      <text>
        <r>
          <rPr>
            <b/>
            <sz val="9"/>
            <color indexed="81"/>
            <rFont val="Tahoma"/>
            <family val="2"/>
            <charset val="204"/>
          </rPr>
          <t>Если подсвечено красным - проверить отметки свай -либо длину!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  <charset val="204"/>
          </rPr>
          <t>Тип армирования здесь  не учитывается для удобства подсчетов (и он не влияет на объемы)</t>
        </r>
      </text>
    </comment>
  </commentList>
</comments>
</file>

<file path=xl/comments4.xml><?xml version="1.0" encoding="utf-8"?>
<comments xmlns="http://schemas.openxmlformats.org/spreadsheetml/2006/main">
  <authors>
    <author>Болковой Александр Алексеевич</author>
    <author>Паршин Павел Владимирович</author>
    <author>Иноземцева Александра Алексеевна</author>
  </authors>
  <commentList>
    <comment ref="P6" authorId="0" shapeId="0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  <charset val="204"/>
          </rPr>
          <t>редактировать если появляется третий тип свай в рамках одной опоры</t>
        </r>
      </text>
    </comment>
    <comment ref="G7" authorId="1" shapeId="0">
      <text>
        <r>
          <rPr>
            <b/>
            <sz val="9"/>
            <color indexed="81"/>
            <rFont val="Tahoma"/>
            <family val="2"/>
            <charset val="204"/>
          </rPr>
          <t>редактировать формулу для актуализации колонки (вкладка "скважины")</t>
        </r>
      </text>
    </comment>
    <comment ref="E8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4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40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56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72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88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04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36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52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68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84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00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16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32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A258" authorId="1" shapeId="0">
      <text>
        <r>
          <rPr>
            <sz val="9"/>
            <color indexed="81"/>
            <rFont val="Tahoma"/>
            <family val="2"/>
            <charset val="204"/>
          </rPr>
          <t>разница по холостому бурению между общим и суммой по грунтам не сходится изза округления</t>
        </r>
      </text>
    </comment>
    <comment ref="A266" authorId="1" shapeId="0">
      <text>
        <r>
          <rPr>
            <sz val="9"/>
            <color indexed="81"/>
            <rFont val="Tahoma"/>
            <family val="2"/>
            <charset val="204"/>
          </rPr>
          <t>поэтому холостое и заполнение песком неравны</t>
        </r>
      </text>
    </comment>
    <comment ref="A359" authorId="1" shapeId="0">
      <text>
        <r>
          <rPr>
            <sz val="9"/>
            <color indexed="81"/>
            <rFont val="Tahoma"/>
            <family val="2"/>
            <charset val="204"/>
          </rPr>
          <t>разница по холостому бурению между общим и суммой по грунтам не сходится изза округления</t>
        </r>
      </text>
    </comment>
    <comment ref="A367" authorId="1" shapeId="0">
      <text>
        <r>
          <rPr>
            <sz val="9"/>
            <color indexed="81"/>
            <rFont val="Tahoma"/>
            <family val="2"/>
            <charset val="204"/>
          </rPr>
          <t>поэтому холостое и заполнение песком неравны</t>
        </r>
      </text>
    </comment>
  </commentList>
</comments>
</file>

<file path=xl/comments5.xml><?xml version="1.0" encoding="utf-8"?>
<comments xmlns="http://schemas.openxmlformats.org/spreadsheetml/2006/main">
  <authors>
    <author>Паршин Павел Владимирович</author>
  </authors>
  <commentList>
    <comment ref="B17" authorId="0" shapeId="0">
      <text>
        <r>
          <rPr>
            <b/>
            <sz val="9"/>
            <color indexed="81"/>
            <rFont val="Tahoma"/>
            <family val="2"/>
            <charset val="204"/>
          </rPr>
          <t>поперек оси опирания 
(вдоль оси моста)</t>
        </r>
      </text>
    </comment>
    <comment ref="B18" authorId="0" shapeId="0">
      <text>
        <r>
          <rPr>
            <b/>
            <sz val="9"/>
            <color indexed="81"/>
            <rFont val="Tahoma"/>
            <family val="2"/>
            <charset val="204"/>
          </rPr>
          <t>вдоль оси опирания
(поперек оси моста)</t>
        </r>
      </text>
    </comment>
    <comment ref="B47" authorId="0" shapeId="0">
      <text>
        <r>
          <rPr>
            <b/>
            <sz val="9"/>
            <color indexed="81"/>
            <rFont val="Tahoma"/>
            <family val="2"/>
            <charset val="204"/>
          </rPr>
          <t>перебить значения, если отличаются от отметок подосновы</t>
        </r>
      </text>
    </comment>
  </commentList>
</comments>
</file>

<file path=xl/comments6.xml><?xml version="1.0" encoding="utf-8"?>
<comments xmlns="http://schemas.openxmlformats.org/spreadsheetml/2006/main">
  <authors>
    <author>Болковой Александр Алексеевич</author>
    <author>Паршин Павел Владимирович</author>
  </authors>
  <commentList>
    <comment ref="O6" authorId="0" shapeId="0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B47" authorId="1" shapeId="0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B82" authorId="1" shapeId="0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</commentList>
</comments>
</file>

<file path=xl/comments7.xml><?xml version="1.0" encoding="utf-8"?>
<comments xmlns="http://schemas.openxmlformats.org/spreadsheetml/2006/main">
  <authors>
    <author>Иноземцева Александра Алексеевна</author>
    <author>Паршин Павел Владимирович</author>
  </authors>
  <commentList>
    <comment ref="B10" authorId="0" shapeId="0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В данной врсии не предусмотрен расчет секций с переломом по длине. Только прямая или наклонная</t>
        </r>
      </text>
    </comment>
    <comment ref="B38" authorId="1" shapeId="0">
      <text>
        <r>
          <rPr>
            <b/>
            <sz val="9"/>
            <color indexed="81"/>
            <rFont val="Tahoma"/>
            <family val="2"/>
            <charset val="204"/>
          </rPr>
          <t>перебить значения, если отличаются от отметок подосновы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задается поеречное сечение укладки герметика 20х10 </t>
        </r>
      </text>
    </comment>
  </commentList>
</comments>
</file>

<file path=xl/comments8.xml><?xml version="1.0" encoding="utf-8"?>
<comments xmlns="http://schemas.openxmlformats.org/spreadsheetml/2006/main">
  <authors>
    <author>Болковой Александр Алексеевич</author>
    <author>Иноземцева Александра Алексеевна</author>
  </authors>
  <commentList>
    <comment ref="K6" authorId="0" shapeId="0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A78" authorId="1" shapeId="0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принимаем, что гидрошпонка устанавливается только в стеновой части подпорной стены
</t>
        </r>
      </text>
    </comment>
    <comment ref="A83" authorId="1" shapeId="0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Площадь посчитана на один слой г-ции, по факту укладывается в два. 
1-й шириной 725, 2-й шириной 1000</t>
        </r>
      </text>
    </comment>
  </commentList>
</comments>
</file>

<file path=xl/sharedStrings.xml><?xml version="1.0" encoding="utf-8"?>
<sst xmlns="http://schemas.openxmlformats.org/spreadsheetml/2006/main" count="2068" uniqueCount="478">
  <si>
    <t>Путепровод</t>
  </si>
  <si>
    <t>Опора 1</t>
  </si>
  <si>
    <t>Всего</t>
  </si>
  <si>
    <t>Тип 1</t>
  </si>
  <si>
    <t>Тип2</t>
  </si>
  <si>
    <t>Опора 2</t>
  </si>
  <si>
    <t>Ростверки</t>
  </si>
  <si>
    <t>количество</t>
  </si>
  <si>
    <t>Стойки</t>
  </si>
  <si>
    <t>Бетонная подготовка</t>
  </si>
  <si>
    <t>Гидроизоляция</t>
  </si>
  <si>
    <t>количество стоек на ростверке</t>
  </si>
  <si>
    <t>Щебеночная подготовка</t>
  </si>
  <si>
    <t>Проливка раствором, %</t>
  </si>
  <si>
    <t>Проливка щебеночной подготовки</t>
  </si>
  <si>
    <t>Опоры. Свайное основание</t>
  </si>
  <si>
    <t>Опоры. Ростверки и стойки</t>
  </si>
  <si>
    <t>Опоры. Ригели и шкафные стенки</t>
  </si>
  <si>
    <t>Опоры. Подферменники</t>
  </si>
  <si>
    <t>Опоры. Сопряжение с насыпью</t>
  </si>
  <si>
    <t>Пролетное строение. Мостовое полотно</t>
  </si>
  <si>
    <t>Армогрунтовые подпорные стены</t>
  </si>
  <si>
    <t>Лестничные сходы</t>
  </si>
  <si>
    <t>Пролетное строение. Участки омоноличивания</t>
  </si>
  <si>
    <t>Проверка графической части</t>
  </si>
  <si>
    <t xml:space="preserve"> Вр-I</t>
  </si>
  <si>
    <t xml:space="preserve">класса </t>
  </si>
  <si>
    <t>Флаг</t>
  </si>
  <si>
    <t>Исправления</t>
  </si>
  <si>
    <t>Дата</t>
  </si>
  <si>
    <t>Фамилия</t>
  </si>
  <si>
    <t>Параметры по умолчанию</t>
  </si>
  <si>
    <t>Ед.
изм.</t>
  </si>
  <si>
    <t>для ИССО</t>
  </si>
  <si>
    <t>Имя
ячейки</t>
  </si>
  <si>
    <t>В25 F₁200 W6</t>
  </si>
  <si>
    <t>Бетон ростверка устоя</t>
  </si>
  <si>
    <t>устой.ростверк.бетон</t>
  </si>
  <si>
    <t>Бетон тела опоры устоя</t>
  </si>
  <si>
    <t>В30 F₁300 W8</t>
  </si>
  <si>
    <t>устой.тело.бетон</t>
  </si>
  <si>
    <t>Бетон шкафной стенки</t>
  </si>
  <si>
    <t>В30 F₂300 W10</t>
  </si>
  <si>
    <t>устой.шкаф.бетон</t>
  </si>
  <si>
    <t>Бетон  переходных плит</t>
  </si>
  <si>
    <t>перех.плиты.бетон</t>
  </si>
  <si>
    <t>Бетон лежней</t>
  </si>
  <si>
    <t>В30 F₁300 W6</t>
  </si>
  <si>
    <t>лежни.бетон</t>
  </si>
  <si>
    <t>Бетон открылков устоя</t>
  </si>
  <si>
    <t>устой.открылок.бетон</t>
  </si>
  <si>
    <t>Бетон насадки устоя</t>
  </si>
  <si>
    <t>В35 F₂300 W10</t>
  </si>
  <si>
    <t>устой.насадка.бетон</t>
  </si>
  <si>
    <t>Бетон плиты проезда устоя</t>
  </si>
  <si>
    <t>В35 F₁300 W8</t>
  </si>
  <si>
    <t>устой.плитапроезда.бетон</t>
  </si>
  <si>
    <t>Бетон подферменников устоя</t>
  </si>
  <si>
    <t>устой.подферм.бетон</t>
  </si>
  <si>
    <t>Бетон укрепления конусов</t>
  </si>
  <si>
    <t>B20 F₁300 W6</t>
  </si>
  <si>
    <t>устой.укрепл.бетон</t>
  </si>
  <si>
    <t>Бетон упора устоя под переходную плиту</t>
  </si>
  <si>
    <t>В30 F₁200 W6</t>
  </si>
  <si>
    <t>устой.упор.бетон</t>
  </si>
  <si>
    <t>Бетон ростверка опоры</t>
  </si>
  <si>
    <t>опора.ростверк.бетон</t>
  </si>
  <si>
    <t>Бетона тела опоры</t>
  </si>
  <si>
    <t>В30 F₂300 W12</t>
  </si>
  <si>
    <t>опора.тело.бетон</t>
  </si>
  <si>
    <t>Бетон оголовка опоры</t>
  </si>
  <si>
    <t>опора.оголовок.бетон</t>
  </si>
  <si>
    <t>Бетон оголовка опоры 2-ого этапа (или единственного)</t>
  </si>
  <si>
    <t>опора.оголовок2.бетон</t>
  </si>
  <si>
    <t>Бетон подферменников опор</t>
  </si>
  <si>
    <t>В35 F₂300 W12</t>
  </si>
  <si>
    <t>опора.подферм.бетон</t>
  </si>
  <si>
    <t>Бетон  пролетных строений</t>
  </si>
  <si>
    <t>В40 F₂200 W10</t>
  </si>
  <si>
    <t>балка.бетон</t>
  </si>
  <si>
    <t>Сборный и монолитный бетон лестничных сходов</t>
  </si>
  <si>
    <t>B20 F₁200 W6</t>
  </si>
  <si>
    <t>лест.сходы</t>
  </si>
  <si>
    <t>Название ИССО</t>
  </si>
  <si>
    <t>Р6.МС1</t>
  </si>
  <si>
    <t>назв.ИССО</t>
  </si>
  <si>
    <t>Наименование объекта капитального строительства</t>
  </si>
  <si>
    <t>Путепровод через а.д "Осеченки - Копнино"</t>
  </si>
  <si>
    <t>назв.объекта</t>
  </si>
  <si>
    <t>Разработал</t>
  </si>
  <si>
    <t>Иноземцева А.А.</t>
  </si>
  <si>
    <t>рзб</t>
  </si>
  <si>
    <t>ГИП</t>
  </si>
  <si>
    <t>Чехомов П.А.</t>
  </si>
  <si>
    <t>гип</t>
  </si>
  <si>
    <t>Общая информация</t>
  </si>
  <si>
    <t>Автомобильная дорога общего пользования регионального значения Московской области «Москва-Егорьевск-Тума-Касимов» на участке от городского округа Люберцы до деревни Кошерово
Путепровод через а.д "Осеченки - Копнино"</t>
  </si>
  <si>
    <t>N договора на разработку проектной документации</t>
  </si>
  <si>
    <t>N.дог.на.разраб.пр.док</t>
  </si>
  <si>
    <t>Длина заделки сваи в ростверк</t>
  </si>
  <si>
    <t>м</t>
  </si>
  <si>
    <t>зад.св.рост</t>
  </si>
  <si>
    <t>Высота шламового слоя сваи</t>
  </si>
  <si>
    <t>выс.шлам.сл</t>
  </si>
  <si>
    <t>Толщина бетонной подготовки</t>
  </si>
  <si>
    <t>толщ.щеб.подг</t>
  </si>
  <si>
    <t>Доля свай в ростверке под проверку сплошности</t>
  </si>
  <si>
    <t>узд.доля</t>
  </si>
  <si>
    <t>Минимальное количества свай в ростверке под проверку сплошности</t>
  </si>
  <si>
    <t>шт.</t>
  </si>
  <si>
    <t>узд.мин</t>
  </si>
  <si>
    <t>Количество труб для УЗД в одной свае</t>
  </si>
  <si>
    <t>узд.кол.труб</t>
  </si>
  <si>
    <t>Доля свай в ростверке под штамповые испытания</t>
  </si>
  <si>
    <t>штамп.доля</t>
  </si>
  <si>
    <t>Минимальное количества свай в ростверке под штамповые испытания</t>
  </si>
  <si>
    <t>штамп.мин</t>
  </si>
  <si>
    <t>Минимальное количество свай в ростверке под статические испытания</t>
  </si>
  <si>
    <t>стат.мин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</si>
  <si>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1.00 (до Ø2.00) </t>
    </r>
  </si>
  <si>
    <t>м3</t>
  </si>
  <si>
    <t>ушир.1.0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</si>
  <si>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1.20 (до Ø2.40) </t>
    </r>
  </si>
  <si>
    <t>ушир.1.2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</si>
  <si>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1.50 (до Ø3.00) </t>
    </r>
  </si>
  <si>
    <t>ушир.1.5</t>
  </si>
  <si>
    <t>Коэффициент уширения для сваи Ø1.00</t>
  </si>
  <si>
    <t>ушир.к.1.0</t>
  </si>
  <si>
    <t>Коэффициент уширения для сваи Ø1.20</t>
  </si>
  <si>
    <t>ушир.к.1.2</t>
  </si>
  <si>
    <t>Коэффициент уширения для сваи Ø1.50</t>
  </si>
  <si>
    <t>ушир.к.1.5</t>
  </si>
  <si>
    <t>Бетон монолитых участков ПС</t>
  </si>
  <si>
    <t>В35 F₂200 W8</t>
  </si>
  <si>
    <t>балка.ум.бетон</t>
  </si>
  <si>
    <t>Бетон монолитых участков ДШ</t>
  </si>
  <si>
    <t>балка.умдш.бетон</t>
  </si>
  <si>
    <t>Инв. номер типового проекта балок 24К</t>
  </si>
  <si>
    <t>инв. №54169-М</t>
  </si>
  <si>
    <t>К</t>
  </si>
  <si>
    <t>Инв. номер типового проекта балок 24Н</t>
  </si>
  <si>
    <t>инв. №54167-М</t>
  </si>
  <si>
    <t>Н</t>
  </si>
  <si>
    <t>Высота опорного пакета</t>
  </si>
  <si>
    <t>выс.оп.пак</t>
  </si>
  <si>
    <t xml:space="preserve"> Ø</t>
  </si>
  <si>
    <t>С245</t>
  </si>
  <si>
    <t>Листовой прокат</t>
  </si>
  <si>
    <t>Ведомость основных объемов работ</t>
  </si>
  <si>
    <t>Наименование работа</t>
  </si>
  <si>
    <t>Ед.изм</t>
  </si>
  <si>
    <t>Кол.</t>
  </si>
  <si>
    <t>Балки сборные железобетонные длиной 28.0 м</t>
  </si>
  <si>
    <t>шт</t>
  </si>
  <si>
    <t>т</t>
  </si>
  <si>
    <t>Бетон омоноличивания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</si>
  <si>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3</t>
    </r>
  </si>
  <si>
    <t>Опорные части РОЧ</t>
  </si>
  <si>
    <t>Гидроизоляция проезжей части (включая переходные плиты)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</si>
  <si>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2</t>
    </r>
    <r>
      <rPr>
        <sz val="12"/>
        <color indexed="8"/>
        <rFont val="Times New Roman"/>
        <family val="2"/>
        <charset val="204"/>
      </rPr>
      <t/>
    </r>
  </si>
  <si>
    <t>Асфальтобетонное покрытие проезжей части (включая переходные плиты)</t>
  </si>
  <si>
    <t>Деформационные швы типа Maurer</t>
  </si>
  <si>
    <t>п.м</t>
  </si>
  <si>
    <t>Барьерное ограждение (включая участки сопряжения)</t>
  </si>
  <si>
    <t>Шумозащитные экраны</t>
  </si>
  <si>
    <t>Опоры монолитные железобетонные</t>
  </si>
  <si>
    <t>Ростверки монолитные железобетонные</t>
  </si>
  <si>
    <t>Сваи забивные призматические С16-35Т7 (типовой проект серии 3.500.1-1.93)</t>
  </si>
  <si>
    <t>Плиты переходные, лежни</t>
  </si>
  <si>
    <t>Подпорная стена</t>
  </si>
  <si>
    <t>Армогрунтовая подпорная стена</t>
  </si>
  <si>
    <t>Георешетка</t>
  </si>
  <si>
    <t>Геотекстиль 200 г/м2</t>
  </si>
  <si>
    <t>Щебеночная подушка из щебня фракции 20-40 мм марки М800</t>
  </si>
  <si>
    <t xml:space="preserve">Заполнение матрацев и габионов бутовым камнем М1200 фр. 100-150 и 100-250 мм </t>
  </si>
  <si>
    <t>Монолитный бетонный шапочный брус. Бетон В20 F/1300 W8</t>
  </si>
  <si>
    <t>Дренирующий грунт К/ф&gt;2 м/сут., К/упл.=0,98</t>
  </si>
  <si>
    <t>Опора N1</t>
  </si>
  <si>
    <t>Обмазочная гидроизоляция опор</t>
  </si>
  <si>
    <t>Сопряжение с насыпью</t>
  </si>
  <si>
    <t>Щебеночная подготовка толщиной 100 мм</t>
  </si>
  <si>
    <t>Щебеночная подушка (фр. 40-70), устраиваемая по способу заклинки</t>
  </si>
  <si>
    <t>Геотекстиль</t>
  </si>
  <si>
    <t>Оклеечная гидроизоляция переходных плит</t>
  </si>
  <si>
    <t>Обмазочная гидроизоляция переходных плит и лежней</t>
  </si>
  <si>
    <t>Окраска цоколей переходных плит</t>
  </si>
  <si>
    <t>Сборные бетонные блоки лестничных сходов. Бетон B20 F/1200 W6</t>
  </si>
  <si>
    <t>Металлоконструкции лестничных сходов</t>
  </si>
  <si>
    <t>Опора N2</t>
  </si>
  <si>
    <t xml:space="preserve">Бетонная подготовка под ростверк </t>
  </si>
  <si>
    <t>В7.5</t>
  </si>
  <si>
    <t>бет.подг.бетон</t>
  </si>
  <si>
    <t>A240</t>
  </si>
  <si>
    <t>A400</t>
  </si>
  <si>
    <t>060622/П-ТКР5-1.5-Р6.МС1</t>
  </si>
  <si>
    <t xml:space="preserve">вертикальные </t>
  </si>
  <si>
    <t>наклонные</t>
  </si>
  <si>
    <t>Динамические испытания свай</t>
  </si>
  <si>
    <t>Статические испытания свай</t>
  </si>
  <si>
    <t>Длина свай</t>
  </si>
  <si>
    <t>Срубка бетона голов свай</t>
  </si>
  <si>
    <t>Отметка подошвы сваи</t>
  </si>
  <si>
    <t xml:space="preserve">Сваи забивные призматические </t>
  </si>
  <si>
    <t>15-24/1</t>
  </si>
  <si>
    <t>название 
грунта</t>
  </si>
  <si>
    <t>отметка верха слоя</t>
  </si>
  <si>
    <t>отметка низа слоя</t>
  </si>
  <si>
    <t>мощность 
слоя</t>
  </si>
  <si>
    <t>супесь пластичная</t>
  </si>
  <si>
    <t>суглинок мягкопластичный</t>
  </si>
  <si>
    <t>глина мягкопластичная</t>
  </si>
  <si>
    <t>ил</t>
  </si>
  <si>
    <t>торф</t>
  </si>
  <si>
    <t>15-24/2</t>
  </si>
  <si>
    <t>глина полутвердая</t>
  </si>
  <si>
    <t>15-24/4</t>
  </si>
  <si>
    <t>15-25</t>
  </si>
  <si>
    <t>Комментарий</t>
  </si>
  <si>
    <t>Длина стороны сваи</t>
  </si>
  <si>
    <t>Динамические испытания свай
(по 3 на ростверк)</t>
  </si>
  <si>
    <t>Статические испытания свай
(по 1 на опору)</t>
  </si>
  <si>
    <t>Высота срубки сваи</t>
  </si>
  <si>
    <t>бетон свай В30 F₁200 W6</t>
  </si>
  <si>
    <t>Сваи забивные призматические</t>
  </si>
  <si>
    <t>С8-35</t>
  </si>
  <si>
    <t>С16-35</t>
  </si>
  <si>
    <t>С15-35</t>
  </si>
  <si>
    <t>С14-35</t>
  </si>
  <si>
    <t>С13-35</t>
  </si>
  <si>
    <t>С12-35</t>
  </si>
  <si>
    <t>С9-35</t>
  </si>
  <si>
    <t>С10-35</t>
  </si>
  <si>
    <t>С11-35</t>
  </si>
  <si>
    <t>С13-40</t>
  </si>
  <si>
    <t>С14-40</t>
  </si>
  <si>
    <t>С15-40</t>
  </si>
  <si>
    <t>С16-40</t>
  </si>
  <si>
    <t>С17-40</t>
  </si>
  <si>
    <t>С18-40</t>
  </si>
  <si>
    <t>Итого:</t>
  </si>
  <si>
    <t xml:space="preserve">В грунтах 1 группы  </t>
  </si>
  <si>
    <t xml:space="preserve">В грунтах 2 группы </t>
  </si>
  <si>
    <t xml:space="preserve">Погружение призматических свай гидромолотом </t>
  </si>
  <si>
    <t>Отметка площадки ПОС</t>
  </si>
  <si>
    <t>Высота, м</t>
  </si>
  <si>
    <t>Припуск за грани ростверка, м</t>
  </si>
  <si>
    <t>Длина ростверка, м</t>
  </si>
  <si>
    <t>Ширина ростверка, м</t>
  </si>
  <si>
    <t>Высота ростверка, м</t>
  </si>
  <si>
    <t>ИССО</t>
  </si>
  <si>
    <t>Стадия</t>
  </si>
  <si>
    <t>Стадия П</t>
  </si>
  <si>
    <t>Название грунта</t>
  </si>
  <si>
    <t>Категория по забивке</t>
  </si>
  <si>
    <t>Категория по буримости</t>
  </si>
  <si>
    <t>песок</t>
  </si>
  <si>
    <t>суглинок</t>
  </si>
  <si>
    <t>суглинок полутвердый, твердый</t>
  </si>
  <si>
    <t>суглинок с валунами</t>
  </si>
  <si>
    <t>супесь</t>
  </si>
  <si>
    <t>супесь пластичная с валунами</t>
  </si>
  <si>
    <t>супесь твердая</t>
  </si>
  <si>
    <t>супесь твердая с валунами</t>
  </si>
  <si>
    <t>супесь твердая с более 30% щебня</t>
  </si>
  <si>
    <t>супесь твердая с более 30% щебня и валунами</t>
  </si>
  <si>
    <t>глина</t>
  </si>
  <si>
    <t>глина мягкая, тугопластичная</t>
  </si>
  <si>
    <t>глина плотная, с валунами</t>
  </si>
  <si>
    <t>глина плотная, твердая</t>
  </si>
  <si>
    <t xml:space="preserve">глина плотная, твердая с доломитами </t>
  </si>
  <si>
    <t>бетон</t>
  </si>
  <si>
    <t>глина текучепластичная</t>
  </si>
  <si>
    <t>глина мягкопластичная с щебнем более 10%</t>
  </si>
  <si>
    <t>глина полутвердая с щебнем более 10%</t>
  </si>
  <si>
    <t>суглинок тугопластичный более 20% щебня</t>
  </si>
  <si>
    <t>суглинок тугопластичный 10-20% щебня</t>
  </si>
  <si>
    <t>суглинок тугопластичный до 10% щебня</t>
  </si>
  <si>
    <t>супесь пластичная, водонасыщенная до 20% щебня</t>
  </si>
  <si>
    <t>супесь пластичная, водонасыщенная до 10% щебня</t>
  </si>
  <si>
    <t>гравийный</t>
  </si>
  <si>
    <t>гравий и галька фр. до 80мм</t>
  </si>
  <si>
    <t>галечник крупный с валунами</t>
  </si>
  <si>
    <t>дресва</t>
  </si>
  <si>
    <t>дресвяный</t>
  </si>
  <si>
    <t>известняк</t>
  </si>
  <si>
    <t>мергель</t>
  </si>
  <si>
    <t>песок пылеватый водонасыщенный</t>
  </si>
  <si>
    <t>песок слабоцемент. с щебнем до 20%</t>
  </si>
  <si>
    <t>песок с щебнем 20-30%</t>
  </si>
  <si>
    <t>песок железистый на известк. цементе</t>
  </si>
  <si>
    <t>песок с щебнем более 30%</t>
  </si>
  <si>
    <t>бетон слабый</t>
  </si>
  <si>
    <t>бетон крепкий</t>
  </si>
  <si>
    <t>мергель низкой прочности</t>
  </si>
  <si>
    <t>мергель малопрочный</t>
  </si>
  <si>
    <t>мергель прочный</t>
  </si>
  <si>
    <t>торф без корней</t>
  </si>
  <si>
    <t>торф с корнями, до 10% щебня</t>
  </si>
  <si>
    <t>торф  с щебнем более 10%</t>
  </si>
  <si>
    <t>Тип</t>
  </si>
  <si>
    <t>группа по забивке</t>
  </si>
  <si>
    <t>группа по бурению</t>
  </si>
  <si>
    <t>забивные сваи</t>
  </si>
  <si>
    <t>буронабивные сваи</t>
  </si>
  <si>
    <t>Диаметр свай</t>
  </si>
  <si>
    <t>Количество свай</t>
  </si>
  <si>
    <t>Погружение свай в грунтах:</t>
  </si>
  <si>
    <t>1 группы</t>
  </si>
  <si>
    <t>2 группы</t>
  </si>
  <si>
    <t>3 группы</t>
  </si>
  <si>
    <t>4 группы</t>
  </si>
  <si>
    <t>5 группы</t>
  </si>
  <si>
    <t>6 группы</t>
  </si>
  <si>
    <t>7 группы</t>
  </si>
  <si>
    <t>Отметка земли по колонке (низ п.р.с)</t>
  </si>
  <si>
    <t>Сваи буронабивные диаметром</t>
  </si>
  <si>
    <t>Общий объем бурения</t>
  </si>
  <si>
    <t xml:space="preserve">В грунтах 2 группы  </t>
  </si>
  <si>
    <t xml:space="preserve">В грунтах 3 группы  </t>
  </si>
  <si>
    <t xml:space="preserve">В грунтах 4 группы  </t>
  </si>
  <si>
    <t xml:space="preserve">В грунтах 5 группы  </t>
  </si>
  <si>
    <t xml:space="preserve">В грунтах 6 группы  </t>
  </si>
  <si>
    <t xml:space="preserve">В грунтах 7 группы  </t>
  </si>
  <si>
    <t>Холостое бурение</t>
  </si>
  <si>
    <t>Бетонирование свай диаметром</t>
  </si>
  <si>
    <t>Общий объем бетонирования</t>
  </si>
  <si>
    <t>Длина свай до срубки</t>
  </si>
  <si>
    <t>холостое бурение</t>
  </si>
  <si>
    <t>заполнить</t>
  </si>
  <si>
    <t>корректировать формулу при создании новой скважины</t>
  </si>
  <si>
    <t>не трогать</t>
  </si>
  <si>
    <t>длина</t>
  </si>
  <si>
    <t>Заполнение скважин песком</t>
  </si>
  <si>
    <t>известняк сильновыветривывшийся</t>
  </si>
  <si>
    <t>известняк малопрочный, выветривывшийся</t>
  </si>
  <si>
    <t>известняк средней прочности</t>
  </si>
  <si>
    <t>известняк окварцованный</t>
  </si>
  <si>
    <t>Срубка шламового слоя бетона</t>
  </si>
  <si>
    <t>Вр-I</t>
  </si>
  <si>
    <t>БНС1</t>
  </si>
  <si>
    <t>БНС2</t>
  </si>
  <si>
    <t>БНС3</t>
  </si>
  <si>
    <t>Высота гидроизоляции над планировкой</t>
  </si>
  <si>
    <t>отметка низа ростверка</t>
  </si>
  <si>
    <t>Окраска (нет-0/есть-1)</t>
  </si>
  <si>
    <t>Количество свай в ростверке</t>
  </si>
  <si>
    <t>Заделка свай в ростверк, м</t>
  </si>
  <si>
    <t>Имя ростверка в ARM2</t>
  </si>
  <si>
    <t>Адрес вкладки в ARM2</t>
  </si>
  <si>
    <t>Имя стойки в ARM2</t>
  </si>
  <si>
    <t>Тип свай</t>
  </si>
  <si>
    <t>Диаметр свай, м</t>
  </si>
  <si>
    <t>марка бетона</t>
  </si>
  <si>
    <t>Объем ростверка, м3</t>
  </si>
  <si>
    <t>Уклон ската</t>
  </si>
  <si>
    <t>Верх ростверка прямой / со скатом (0/1)</t>
  </si>
  <si>
    <t>Вычет объема свай из объема ростверка нет / да (0/1)</t>
  </si>
  <si>
    <t>Высота стойки, м</t>
  </si>
  <si>
    <t>Диаметр стойки, м</t>
  </si>
  <si>
    <t>Объем стойки, м3</t>
  </si>
  <si>
    <t>Гидроизоляция ростверков</t>
  </si>
  <si>
    <t>Гидроизоляция стоек</t>
  </si>
  <si>
    <t>Отметка планировки (если есть)</t>
  </si>
  <si>
    <t>Ст3сп</t>
  </si>
  <si>
    <t>Окраска стоек</t>
  </si>
  <si>
    <t>Защитный слой, м2</t>
  </si>
  <si>
    <t>Высота защитного слоя, м</t>
  </si>
  <si>
    <t>Ст1.1-Ст1.4</t>
  </si>
  <si>
    <t>Ст2.1-Ст2.4</t>
  </si>
  <si>
    <t>Р1.1-Р1.4</t>
  </si>
  <si>
    <t>Оголовки</t>
  </si>
  <si>
    <t>Имя оголовка в ARM2</t>
  </si>
  <si>
    <t>Ог1</t>
  </si>
  <si>
    <t>Диаметр оголовка поверху, м</t>
  </si>
  <si>
    <t>Диаметр оголовка понизу, м</t>
  </si>
  <si>
    <t>Высота верхней части, м</t>
  </si>
  <si>
    <t>Высота переменной части, м</t>
  </si>
  <si>
    <t>Объем оголовка, м3</t>
  </si>
  <si>
    <t>Проверка соответствия стойки и оголовка</t>
  </si>
  <si>
    <t>Имя сваи в ARM1</t>
  </si>
  <si>
    <t>Адрес вкладки в ARM1</t>
  </si>
  <si>
    <t>Объем сваи, м3</t>
  </si>
  <si>
    <t>Ог2</t>
  </si>
  <si>
    <t>Бурение скважин в грунтах, п.м.</t>
  </si>
  <si>
    <t>Холостое в грунтах, п.м.</t>
  </si>
  <si>
    <t>Площадь сечения, м2</t>
  </si>
  <si>
    <t>песок рыхлый</t>
  </si>
  <si>
    <t>песок другой</t>
  </si>
  <si>
    <t>Штамповые испытания свай
(по 1 на опору)</t>
  </si>
  <si>
    <t>Штамповые испытания свай</t>
  </si>
  <si>
    <t>Трубы УЗД</t>
  </si>
  <si>
    <t>57х3.5</t>
  </si>
  <si>
    <t>68х4</t>
  </si>
  <si>
    <t>БНС4</t>
  </si>
  <si>
    <t>Марка сваи</t>
  </si>
  <si>
    <t>Длина до срубки</t>
  </si>
  <si>
    <t>Высота срубки</t>
  </si>
  <si>
    <t>Диаметр</t>
  </si>
  <si>
    <t>БНС5</t>
  </si>
  <si>
    <t>БНС6</t>
  </si>
  <si>
    <t>БНС7</t>
  </si>
  <si>
    <t>Бетонирование скважин в грунтах</t>
  </si>
  <si>
    <t>Длина сваи</t>
  </si>
  <si>
    <t>Объем бетона</t>
  </si>
  <si>
    <t>Подпорные стенки</t>
  </si>
  <si>
    <t>Пенопласт (20мм), м2</t>
  </si>
  <si>
    <t>Шнур вилатерм, п.м.</t>
  </si>
  <si>
    <t>Рулонная гидроизоляция дефшва</t>
  </si>
  <si>
    <t>Устройство деф.шва между секциями, шт</t>
  </si>
  <si>
    <t>Отметка подошвы фундамента</t>
  </si>
  <si>
    <t xml:space="preserve">Количество свай </t>
  </si>
  <si>
    <t>Установка гидрошпонки в рабочих швах бетонир (нет-0/есть-1)</t>
  </si>
  <si>
    <t>Парапет (нет-0/есть-1)</t>
  </si>
  <si>
    <t>Бортовой камень (нет-0/есть-1)</t>
  </si>
  <si>
    <t>Вычет объема свай из объема фундамента нет / да (0/1)</t>
  </si>
  <si>
    <t>Заделка свай в фундамент, м</t>
  </si>
  <si>
    <t>Стенки</t>
  </si>
  <si>
    <t>Фундаментная часть</t>
  </si>
  <si>
    <t>Гидрошпонка между секциями, п.м.</t>
  </si>
  <si>
    <t>Длина секции, м - L</t>
  </si>
  <si>
    <t>Ширина фундамента, м - B</t>
  </si>
  <si>
    <t>Ширина стены наверху, м  - b2</t>
  </si>
  <si>
    <t>Расстояние от стены до края, м - b3</t>
  </si>
  <si>
    <t>Ширина стены внизу, м - b4</t>
  </si>
  <si>
    <t>Толщина перекрытия 1 у насыпи, м - t2</t>
  </si>
  <si>
    <t>Толщина перекрытия 1 у стены,м - t1</t>
  </si>
  <si>
    <t>Толщина перекрытия 2 у стены,м - t3</t>
  </si>
  <si>
    <t>Толщина перекрытия 2 у насыпи, м - t4</t>
  </si>
  <si>
    <t xml:space="preserve"> Высота ф-та общая , м - H(нач)</t>
  </si>
  <si>
    <t>Герметик Сазиласт, п.м.</t>
  </si>
  <si>
    <t xml:space="preserve"> Высота ф-та общая , м - H(конечн)</t>
  </si>
  <si>
    <t>Герметик Сазиласт, л</t>
  </si>
  <si>
    <t>Гидрошпонка в рабочих швах бетонирования, п.м.</t>
  </si>
  <si>
    <t>Гидроизоляция, м2</t>
  </si>
  <si>
    <t>Устройство защитного дренирующего слоя гидроизоляции, м2</t>
  </si>
  <si>
    <t>Точки для геометрии</t>
  </si>
  <si>
    <t>х</t>
  </si>
  <si>
    <t>у</t>
  </si>
  <si>
    <t>Герметик Сазиласт (в сечении), м2</t>
  </si>
  <si>
    <t>отступы до рамки</t>
  </si>
  <si>
    <t>НК</t>
  </si>
  <si>
    <t>Х</t>
  </si>
  <si>
    <t>У</t>
  </si>
  <si>
    <t>отступы план фасад</t>
  </si>
  <si>
    <t xml:space="preserve"> отступымежду фасадом ,1-1 и 2-3</t>
  </si>
  <si>
    <t>фасад</t>
  </si>
  <si>
    <t>1-1</t>
  </si>
  <si>
    <t>2-2</t>
  </si>
  <si>
    <t>план</t>
  </si>
  <si>
    <t>между рамками</t>
  </si>
  <si>
    <t>отступ до рамки справа</t>
  </si>
  <si>
    <t>Адрес вкладки в ARM_ПС</t>
  </si>
  <si>
    <t>Объем ростверка подпорной стены, м3</t>
  </si>
  <si>
    <t>Объем тела подпорной стены, м3</t>
  </si>
  <si>
    <t>Имя ростверка подпорной стены в ARM_ПС</t>
  </si>
  <si>
    <t>Имя тела подпорной стены в ARM_ПС</t>
  </si>
  <si>
    <t>Р1.1</t>
  </si>
  <si>
    <t>Р1.2</t>
  </si>
  <si>
    <t>Р1.3</t>
  </si>
  <si>
    <t>Ст1.1</t>
  </si>
  <si>
    <t>Ст1.2</t>
  </si>
  <si>
    <t>Ст1.3</t>
  </si>
  <si>
    <t>Секция С1.1</t>
  </si>
  <si>
    <t>Секция С1.2</t>
  </si>
  <si>
    <t>Секция С1.3</t>
  </si>
  <si>
    <t>leght</t>
  </si>
  <si>
    <t>height_end</t>
  </si>
  <si>
    <t>height_start</t>
  </si>
  <si>
    <t>foundation_width</t>
  </si>
  <si>
    <t>top_wall_width</t>
  </si>
  <si>
    <t>edge_distance</t>
  </si>
  <si>
    <t>bottom_wall_width</t>
  </si>
  <si>
    <t>t1</t>
  </si>
  <si>
    <t>t2</t>
  </si>
  <si>
    <t>t3</t>
  </si>
  <si>
    <t>t4</t>
  </si>
  <si>
    <t>V2</t>
  </si>
  <si>
    <t>ИССО 1.1.1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</si>
</sst>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54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10"/>
      <name val="Arial"/>
      <family val="2"/>
      <charset val="204"/>
    </font>
    <font>
      <sz val="10"/>
      <name val="Arial Cyr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10"/>
      <color indexed="23"/>
      <name val="Times New Roman"/>
      <family val="1"/>
      <charset val="204"/>
    </font>
    <font>
      <sz val="12"/>
      <color indexed="23"/>
      <name val="Times New Roman"/>
      <family val="1"/>
      <charset val="204"/>
    </font>
    <font>
      <sz val="10"/>
      <color indexed="23"/>
      <name val="Times New Roman"/>
      <family val="1"/>
      <charset val="204"/>
    </font>
    <font>
      <b/>
      <sz val="12"/>
      <name val="Century Gothic"/>
      <family val="2"/>
      <charset val="204"/>
    </font>
    <font>
      <sz val="12"/>
      <color indexed="8"/>
      <name val="Century Gothic"/>
      <family val="2"/>
      <charset val="204"/>
    </font>
    <font>
      <sz val="12"/>
      <name val="Century Gothic"/>
      <family val="2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b/>
      <sz val="14"/>
      <name val="Times New Roman"/>
      <family val="1"/>
      <charset val="204"/>
    </font>
    <font>
      <sz val="12"/>
      <color indexed="8"/>
      <name val="Calibri"/>
      <family val="2"/>
      <charset val="204"/>
    </font>
    <font>
      <sz val="12"/>
      <color indexed="10"/>
      <name val="Century Gothic"/>
      <family val="2"/>
      <charset val="204"/>
    </font>
    <font>
      <vertAlign val="superscript"/>
      <sz val="10"/>
      <color indexed="8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color indexed="23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10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2"/>
      <color rgb="FFFF0000"/>
      <name val="Century Gothic"/>
      <family val="2"/>
      <charset val="204"/>
    </font>
    <font>
      <b/>
      <sz val="12"/>
      <color rgb="FFFF0000"/>
      <name val="Century Gothic"/>
      <family val="2"/>
      <charset val="204"/>
    </font>
    <font>
      <b/>
      <sz val="11"/>
      <color theme="8"/>
      <name val="Calibri"/>
      <family val="2"/>
      <charset val="204"/>
      <scheme val="minor"/>
    </font>
    <font>
      <b/>
      <sz val="9"/>
      <color theme="8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theme="0" tint="-0.34998626667073579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6"/>
      <color theme="1"/>
      <name val="Calibri"/>
      <family val="2"/>
      <charset val="204"/>
      <scheme val="minor"/>
    </font>
    <font>
      <sz val="12"/>
      <color rgb="FF1E1E1E"/>
      <name val="Segoe UI"/>
      <family val="2"/>
      <charset val="204"/>
    </font>
    <font>
      <sz val="8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i/>
      <sz val="10"/>
      <color theme="1"/>
      <name val="Calibri"/>
      <family val="2"/>
      <charset val="204"/>
      <scheme val="minor"/>
    </font>
    <font>
      <sz val="9"/>
      <color indexed="23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i/>
      <sz val="9"/>
      <name val="Calibri"/>
      <family val="2"/>
      <charset val="204"/>
      <scheme val="minor"/>
    </font>
    <font>
      <sz val="7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FF5050"/>
      <name val="Calibri"/>
      <family val="2"/>
      <charset val="204"/>
      <scheme val="minor"/>
    </font>
    <font>
      <sz val="8"/>
      <color theme="4" tint="-0.49998474074526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</borders>
  <cellStyleXfs count="5">
    <xf numFmtId="0" fontId="0" fillId="0" borderId="0"/>
    <xf numFmtId="0" fontId="3" fillId="0" borderId="0"/>
    <xf numFmtId="0" fontId="23" fillId="0" borderId="0"/>
    <xf numFmtId="0" fontId="24" fillId="0" borderId="0"/>
    <xf numFmtId="0" fontId="2" fillId="0" borderId="0"/>
  </cellStyleXfs>
  <cellXfs count="41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25" fillId="0" borderId="0" xfId="4" applyFont="1" applyAlignment="1">
      <alignment horizontal="right" wrapText="1"/>
    </xf>
    <xf numFmtId="0" fontId="0" fillId="4" borderId="0" xfId="0" applyFill="1" applyAlignment="1">
      <alignment horizontal="left" vertical="center"/>
    </xf>
    <xf numFmtId="0" fontId="25" fillId="0" borderId="0" xfId="4" applyFont="1" applyAlignment="1">
      <alignment horizontal="left" wrapText="1"/>
    </xf>
    <xf numFmtId="0" fontId="0" fillId="3" borderId="0" xfId="0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6" fillId="2" borderId="12" xfId="1" applyFont="1" applyFill="1" applyBorder="1" applyAlignment="1">
      <alignment horizontal="center" vertical="center" wrapText="1"/>
    </xf>
    <xf numFmtId="0" fontId="7" fillId="2" borderId="12" xfId="1" applyFont="1" applyFill="1" applyBorder="1" applyAlignment="1">
      <alignment horizontal="left" vertical="center" wrapText="1"/>
    </xf>
    <xf numFmtId="0" fontId="8" fillId="2" borderId="12" xfId="1" applyFont="1" applyFill="1" applyBorder="1" applyAlignment="1">
      <alignment horizontal="center" vertical="center" wrapText="1"/>
    </xf>
    <xf numFmtId="1" fontId="7" fillId="0" borderId="0" xfId="1" applyNumberFormat="1" applyFont="1" applyAlignment="1">
      <alignment horizontal="center" vertical="center" wrapText="1"/>
    </xf>
    <xf numFmtId="0" fontId="7" fillId="2" borderId="0" xfId="2" applyFont="1" applyFill="1"/>
    <xf numFmtId="1" fontId="7" fillId="0" borderId="0" xfId="2" quotePrefix="1" applyNumberFormat="1" applyFont="1" applyAlignment="1">
      <alignment horizontal="center" vertical="center" wrapText="1"/>
    </xf>
    <xf numFmtId="0" fontId="7" fillId="2" borderId="0" xfId="2" applyFont="1" applyFill="1" applyAlignment="1">
      <alignment vertical="center"/>
    </xf>
    <xf numFmtId="0" fontId="26" fillId="0" borderId="0" xfId="0" applyFont="1"/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3" fillId="0" borderId="0" xfId="3" applyFont="1" applyAlignment="1">
      <alignment horizontal="left" vertical="center" indent="1"/>
    </xf>
    <xf numFmtId="0" fontId="14" fillId="0" borderId="13" xfId="0" applyFont="1" applyBorder="1" applyAlignment="1">
      <alignment horizontal="center" vertical="center"/>
    </xf>
    <xf numFmtId="2" fontId="15" fillId="0" borderId="14" xfId="0" applyNumberFormat="1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left" vertical="center" wrapText="1" indent="1"/>
    </xf>
    <xf numFmtId="0" fontId="26" fillId="0" borderId="0" xfId="0" applyFont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7" fillId="0" borderId="54" xfId="0" applyFont="1" applyBorder="1" applyAlignment="1">
      <alignment horizontal="center" vertical="center"/>
    </xf>
    <xf numFmtId="0" fontId="12" fillId="0" borderId="0" xfId="3" applyFont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27" fillId="0" borderId="54" xfId="0" applyFont="1" applyBorder="1" applyAlignment="1">
      <alignment horizontal="center" vertical="center" wrapText="1"/>
    </xf>
    <xf numFmtId="0" fontId="12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/>
    </xf>
    <xf numFmtId="0" fontId="28" fillId="0" borderId="0" xfId="0" applyFont="1" applyAlignment="1">
      <alignment horizontal="right" vertical="center"/>
    </xf>
    <xf numFmtId="0" fontId="28" fillId="0" borderId="0" xfId="0" applyFont="1" applyAlignment="1">
      <alignment horizontal="center" vertical="center"/>
    </xf>
    <xf numFmtId="0" fontId="29" fillId="0" borderId="54" xfId="0" applyFont="1" applyBorder="1" applyAlignment="1">
      <alignment horizontal="center" vertical="center"/>
    </xf>
    <xf numFmtId="0" fontId="28" fillId="0" borderId="0" xfId="0" applyFont="1" applyAlignment="1">
      <alignment horizontal="left" vertical="center" indent="1"/>
    </xf>
    <xf numFmtId="0" fontId="17" fillId="0" borderId="0" xfId="0" applyFont="1" applyAlignment="1">
      <alignment vertical="center"/>
    </xf>
    <xf numFmtId="1" fontId="6" fillId="0" borderId="12" xfId="2" applyNumberFormat="1" applyFont="1" applyBorder="1" applyAlignment="1">
      <alignment horizontal="center" vertical="center" wrapText="1"/>
    </xf>
    <xf numFmtId="0" fontId="30" fillId="0" borderId="0" xfId="4" applyFont="1" applyAlignment="1">
      <alignment horizontal="right" wrapText="1"/>
    </xf>
    <xf numFmtId="1" fontId="0" fillId="3" borderId="0" xfId="0" applyNumberFormat="1" applyFill="1" applyAlignment="1">
      <alignment horizontal="center" vertical="center"/>
    </xf>
    <xf numFmtId="0" fontId="25" fillId="0" borderId="0" xfId="4" applyFont="1" applyAlignment="1">
      <alignment horizontal="right"/>
    </xf>
    <xf numFmtId="0" fontId="0" fillId="0" borderId="5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4" borderId="6" xfId="0" applyFill="1" applyBorder="1" applyAlignment="1">
      <alignment horizontal="center" vertical="center"/>
    </xf>
    <xf numFmtId="0" fontId="25" fillId="0" borderId="6" xfId="4" applyFont="1" applyBorder="1" applyAlignment="1">
      <alignment horizontal="right" wrapText="1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9" xfId="0" applyFill="1" applyBorder="1" applyAlignment="1">
      <alignment horizontal="left" vertical="center"/>
    </xf>
    <xf numFmtId="0" fontId="0" fillId="3" borderId="9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31" fillId="0" borderId="0" xfId="0" applyFont="1"/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1" fillId="0" borderId="21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1" fillId="0" borderId="24" xfId="0" applyFont="1" applyBorder="1" applyAlignment="1">
      <alignment horizontal="left" vertical="center"/>
    </xf>
    <xf numFmtId="0" fontId="31" fillId="0" borderId="25" xfId="0" applyFont="1" applyBorder="1" applyAlignment="1">
      <alignment horizontal="left" vertical="center"/>
    </xf>
    <xf numFmtId="0" fontId="31" fillId="0" borderId="26" xfId="0" applyFont="1" applyBorder="1" applyAlignment="1">
      <alignment horizontal="left" vertical="center"/>
    </xf>
    <xf numFmtId="0" fontId="31" fillId="0" borderId="27" xfId="0" applyFont="1" applyBorder="1" applyAlignment="1">
      <alignment horizontal="center" vertical="center"/>
    </xf>
    <xf numFmtId="0" fontId="32" fillId="0" borderId="0" xfId="3" applyFont="1" applyAlignment="1">
      <alignment horizontal="center" vertical="center"/>
    </xf>
    <xf numFmtId="0" fontId="33" fillId="0" borderId="0" xfId="3" applyFont="1" applyAlignment="1">
      <alignment horizontal="center" vertical="center"/>
    </xf>
    <xf numFmtId="0" fontId="31" fillId="0" borderId="16" xfId="0" applyFont="1" applyBorder="1" applyAlignment="1">
      <alignment vertical="center"/>
    </xf>
    <xf numFmtId="0" fontId="31" fillId="0" borderId="18" xfId="0" applyFont="1" applyBorder="1" applyAlignment="1">
      <alignment vertical="center"/>
    </xf>
    <xf numFmtId="0" fontId="31" fillId="0" borderId="17" xfId="0" applyFont="1" applyBorder="1" applyAlignment="1">
      <alignment vertical="center"/>
    </xf>
    <xf numFmtId="0" fontId="30" fillId="0" borderId="6" xfId="4" applyFont="1" applyBorder="1" applyAlignment="1">
      <alignment horizontal="right" wrapText="1"/>
    </xf>
    <xf numFmtId="0" fontId="30" fillId="0" borderId="0" xfId="4" applyFont="1" applyAlignment="1">
      <alignment horizontal="left" wrapText="1"/>
    </xf>
    <xf numFmtId="0" fontId="31" fillId="0" borderId="28" xfId="0" applyFont="1" applyBorder="1" applyAlignment="1">
      <alignment vertical="center"/>
    </xf>
    <xf numFmtId="0" fontId="31" fillId="0" borderId="24" xfId="0" applyFont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0" fontId="31" fillId="0" borderId="30" xfId="0" applyFont="1" applyBorder="1" applyAlignment="1">
      <alignment vertical="center"/>
    </xf>
    <xf numFmtId="0" fontId="31" fillId="0" borderId="31" xfId="0" applyFont="1" applyBorder="1" applyAlignment="1">
      <alignment vertical="center"/>
    </xf>
    <xf numFmtId="0" fontId="31" fillId="0" borderId="32" xfId="0" applyFont="1" applyBorder="1" applyAlignment="1">
      <alignment horizontal="left" vertical="center"/>
    </xf>
    <xf numFmtId="0" fontId="31" fillId="0" borderId="6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33" xfId="0" applyFont="1" applyBorder="1" applyAlignment="1">
      <alignment horizontal="center" vertical="center"/>
    </xf>
    <xf numFmtId="0" fontId="31" fillId="0" borderId="34" xfId="0" applyFont="1" applyBorder="1" applyAlignment="1">
      <alignment horizontal="center" vertical="center"/>
    </xf>
    <xf numFmtId="0" fontId="31" fillId="0" borderId="35" xfId="0" applyFont="1" applyBorder="1" applyAlignment="1">
      <alignment vertical="center"/>
    </xf>
    <xf numFmtId="0" fontId="31" fillId="0" borderId="36" xfId="0" applyFont="1" applyBorder="1" applyAlignment="1">
      <alignment vertical="center"/>
    </xf>
    <xf numFmtId="0" fontId="31" fillId="0" borderId="37" xfId="0" applyFont="1" applyBorder="1" applyAlignment="1">
      <alignment vertical="center"/>
    </xf>
    <xf numFmtId="0" fontId="31" fillId="0" borderId="3" xfId="0" applyFont="1" applyBorder="1" applyAlignment="1">
      <alignment horizontal="center" vertical="center"/>
    </xf>
    <xf numFmtId="0" fontId="31" fillId="0" borderId="38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/>
    </xf>
    <xf numFmtId="2" fontId="0" fillId="0" borderId="2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30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34" fillId="0" borderId="0" xfId="0" applyFont="1"/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0" fillId="0" borderId="25" xfId="0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0" fontId="0" fillId="0" borderId="7" xfId="0" applyBorder="1" applyAlignment="1">
      <alignment horizontal="center"/>
    </xf>
    <xf numFmtId="2" fontId="0" fillId="0" borderId="8" xfId="0" applyNumberFormat="1" applyBorder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8" fillId="2" borderId="12" xfId="1" applyFont="1" applyFill="1" applyBorder="1" applyAlignment="1">
      <alignment horizontal="center" wrapText="1"/>
    </xf>
    <xf numFmtId="0" fontId="7" fillId="2" borderId="12" xfId="1" applyFont="1" applyFill="1" applyBorder="1" applyAlignment="1">
      <alignment horizontal="left" wrapText="1"/>
    </xf>
    <xf numFmtId="0" fontId="36" fillId="0" borderId="0" xfId="0" applyFont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7" xfId="0" applyNumberFormat="1" applyBorder="1" applyAlignment="1">
      <alignment horizontal="center"/>
    </xf>
    <xf numFmtId="0" fontId="36" fillId="0" borderId="0" xfId="0" applyFont="1" applyAlignment="1">
      <alignment horizontal="left"/>
    </xf>
    <xf numFmtId="1" fontId="0" fillId="0" borderId="7" xfId="0" applyNumberFormat="1" applyBorder="1" applyAlignment="1">
      <alignment horizontal="center"/>
    </xf>
    <xf numFmtId="0" fontId="0" fillId="0" borderId="6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36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9" xfId="0" applyBorder="1" applyAlignment="1">
      <alignment horizontal="center"/>
    </xf>
    <xf numFmtId="1" fontId="37" fillId="0" borderId="6" xfId="0" applyNumberFormat="1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38" fillId="0" borderId="6" xfId="0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36" fillId="0" borderId="41" xfId="0" applyFont="1" applyBorder="1" applyAlignment="1">
      <alignment horizontal="righ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36" fillId="0" borderId="6" xfId="0" applyFont="1" applyBorder="1" applyAlignment="1">
      <alignment horizontal="left"/>
    </xf>
    <xf numFmtId="0" fontId="0" fillId="0" borderId="8" xfId="0" applyBorder="1"/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5" borderId="46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7" fillId="2" borderId="0" xfId="1" applyFont="1" applyFill="1" applyAlignment="1">
      <alignment horizontal="left" vertical="center" wrapText="1"/>
    </xf>
    <xf numFmtId="0" fontId="30" fillId="6" borderId="0" xfId="4" applyFont="1" applyFill="1" applyAlignment="1">
      <alignment horizontal="right" wrapText="1"/>
    </xf>
    <xf numFmtId="0" fontId="30" fillId="7" borderId="0" xfId="4" applyFont="1" applyFill="1" applyAlignment="1">
      <alignment horizontal="right" wrapText="1"/>
    </xf>
    <xf numFmtId="0" fontId="30" fillId="8" borderId="0" xfId="4" applyFont="1" applyFill="1" applyAlignment="1">
      <alignment horizontal="right" wrapText="1"/>
    </xf>
    <xf numFmtId="0" fontId="39" fillId="5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4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4" xfId="0" applyBorder="1" applyAlignment="1">
      <alignment wrapText="1"/>
    </xf>
    <xf numFmtId="0" fontId="0" fillId="0" borderId="9" xfId="0" applyBorder="1" applyAlignment="1">
      <alignment wrapText="1"/>
    </xf>
    <xf numFmtId="49" fontId="0" fillId="0" borderId="13" xfId="0" applyNumberFormat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2" fontId="0" fillId="0" borderId="5" xfId="0" applyNumberFormat="1" applyBorder="1" applyAlignment="1">
      <alignment horizontal="center"/>
    </xf>
    <xf numFmtId="0" fontId="0" fillId="0" borderId="9" xfId="0" applyBorder="1" applyAlignment="1">
      <alignment horizontal="right"/>
    </xf>
    <xf numFmtId="2" fontId="0" fillId="0" borderId="10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49" fontId="0" fillId="5" borderId="0" xfId="0" applyNumberFormat="1" applyFill="1"/>
    <xf numFmtId="0" fontId="35" fillId="5" borderId="0" xfId="0" applyFont="1" applyFill="1" applyAlignment="1">
      <alignment horizontal="center" vertical="center"/>
    </xf>
    <xf numFmtId="0" fontId="34" fillId="5" borderId="0" xfId="0" applyFont="1" applyFill="1"/>
    <xf numFmtId="0" fontId="0" fillId="5" borderId="0" xfId="0" applyFill="1"/>
    <xf numFmtId="1" fontId="0" fillId="3" borderId="25" xfId="0" applyNumberFormat="1" applyFill="1" applyBorder="1" applyAlignment="1">
      <alignment horizontal="center" vertical="center"/>
    </xf>
    <xf numFmtId="0" fontId="0" fillId="3" borderId="48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36" fillId="5" borderId="6" xfId="0" applyFont="1" applyFill="1" applyBorder="1" applyAlignment="1">
      <alignment horizontal="left"/>
    </xf>
    <xf numFmtId="0" fontId="36" fillId="5" borderId="0" xfId="0" applyFont="1" applyFill="1" applyAlignment="1">
      <alignment horizontal="left"/>
    </xf>
    <xf numFmtId="0" fontId="36" fillId="5" borderId="0" xfId="0" applyFont="1" applyFill="1" applyAlignment="1">
      <alignment horizontal="center"/>
    </xf>
    <xf numFmtId="0" fontId="30" fillId="0" borderId="6" xfId="4" applyFont="1" applyBorder="1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36" fillId="0" borderId="11" xfId="0" applyFont="1" applyBorder="1" applyAlignment="1">
      <alignment horizontal="right" vertical="center"/>
    </xf>
    <xf numFmtId="0" fontId="36" fillId="7" borderId="15" xfId="0" applyFont="1" applyFill="1" applyBorder="1" applyAlignment="1">
      <alignment horizontal="right" vertical="center"/>
    </xf>
    <xf numFmtId="0" fontId="36" fillId="3" borderId="1" xfId="0" applyFont="1" applyFill="1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2" fontId="0" fillId="5" borderId="2" xfId="0" applyNumberForma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48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22" fillId="0" borderId="6" xfId="4" applyFont="1" applyBorder="1" applyAlignment="1">
      <alignment horizontal="left" vertical="center" wrapText="1"/>
    </xf>
    <xf numFmtId="0" fontId="40" fillId="0" borderId="0" xfId="0" applyFont="1" applyAlignment="1">
      <alignment horizontal="left" vertical="center"/>
    </xf>
    <xf numFmtId="1" fontId="0" fillId="0" borderId="15" xfId="0" applyNumberFormat="1" applyBorder="1" applyAlignment="1">
      <alignment horizontal="center" vertical="center" wrapText="1"/>
    </xf>
    <xf numFmtId="2" fontId="0" fillId="0" borderId="1" xfId="0" quotePrefix="1" applyNumberFormat="1" applyBorder="1" applyAlignment="1">
      <alignment horizontal="center" vertical="center"/>
    </xf>
    <xf numFmtId="2" fontId="0" fillId="0" borderId="2" xfId="0" quotePrefix="1" applyNumberFormat="1" applyBorder="1" applyAlignment="1">
      <alignment horizontal="center" vertical="center"/>
    </xf>
    <xf numFmtId="2" fontId="0" fillId="0" borderId="11" xfId="0" quotePrefix="1" applyNumberFormat="1" applyBorder="1" applyAlignment="1">
      <alignment horizontal="center" vertical="center"/>
    </xf>
    <xf numFmtId="0" fontId="0" fillId="5" borderId="6" xfId="0" applyFill="1" applyBorder="1" applyAlignment="1">
      <alignment horizontal="left"/>
    </xf>
    <xf numFmtId="16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10" xfId="0" applyBorder="1" applyAlignment="1">
      <alignment horizontal="center"/>
    </xf>
    <xf numFmtId="0" fontId="23" fillId="3" borderId="0" xfId="0" applyFont="1" applyFill="1" applyAlignment="1">
      <alignment horizontal="right" vertical="center"/>
    </xf>
    <xf numFmtId="0" fontId="0" fillId="3" borderId="39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1" fontId="0" fillId="3" borderId="7" xfId="0" applyNumberForma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41" fillId="0" borderId="0" xfId="0" applyFont="1"/>
    <xf numFmtId="0" fontId="0" fillId="0" borderId="0" xfId="0" quotePrefix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42" fillId="4" borderId="6" xfId="0" applyFont="1" applyFill="1" applyBorder="1" applyAlignment="1">
      <alignment horizontal="right" vertical="center"/>
    </xf>
    <xf numFmtId="1" fontId="42" fillId="3" borderId="2" xfId="0" applyNumberFormat="1" applyFont="1" applyFill="1" applyBorder="1" applyAlignment="1">
      <alignment horizontal="center" vertical="center"/>
    </xf>
    <xf numFmtId="1" fontId="42" fillId="3" borderId="0" xfId="0" applyNumberFormat="1" applyFont="1" applyFill="1" applyAlignment="1">
      <alignment horizontal="center" vertical="center"/>
    </xf>
    <xf numFmtId="1" fontId="42" fillId="0" borderId="0" xfId="0" applyNumberFormat="1" applyFont="1" applyAlignment="1">
      <alignment horizontal="center" vertical="center"/>
    </xf>
    <xf numFmtId="0" fontId="42" fillId="3" borderId="6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1" fillId="2" borderId="12" xfId="1" applyFont="1" applyFill="1" applyBorder="1" applyAlignment="1">
      <alignment horizontal="left" vertical="center" wrapText="1"/>
    </xf>
    <xf numFmtId="0" fontId="42" fillId="3" borderId="2" xfId="0" applyFont="1" applyFill="1" applyBorder="1" applyAlignment="1">
      <alignment horizontal="center" vertical="center"/>
    </xf>
    <xf numFmtId="0" fontId="42" fillId="3" borderId="0" xfId="0" applyFont="1" applyFill="1" applyAlignment="1">
      <alignment horizontal="center" vertical="center"/>
    </xf>
    <xf numFmtId="0" fontId="42" fillId="5" borderId="2" xfId="0" applyFont="1" applyFill="1" applyBorder="1" applyAlignment="1">
      <alignment horizontal="center" vertical="center"/>
    </xf>
    <xf numFmtId="0" fontId="42" fillId="5" borderId="7" xfId="0" applyFont="1" applyFill="1" applyBorder="1" applyAlignment="1">
      <alignment horizontal="center" vertical="center"/>
    </xf>
    <xf numFmtId="0" fontId="42" fillId="5" borderId="6" xfId="0" applyFont="1" applyFill="1" applyBorder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164" fontId="0" fillId="3" borderId="11" xfId="0" applyNumberFormat="1" applyFill="1" applyBorder="1" applyAlignment="1">
      <alignment horizontal="center" vertical="center"/>
    </xf>
    <xf numFmtId="0" fontId="43" fillId="0" borderId="0" xfId="4" applyFont="1" applyAlignment="1">
      <alignment horizontal="left" vertical="center" wrapText="1"/>
    </xf>
    <xf numFmtId="0" fontId="0" fillId="5" borderId="0" xfId="0" applyFill="1" applyAlignment="1">
      <alignment horizontal="left" vertical="center"/>
    </xf>
    <xf numFmtId="0" fontId="42" fillId="5" borderId="0" xfId="0" applyFont="1" applyFill="1" applyAlignment="1">
      <alignment horizontal="left" vertical="center"/>
    </xf>
    <xf numFmtId="0" fontId="44" fillId="5" borderId="44" xfId="0" applyFont="1" applyFill="1" applyBorder="1" applyAlignment="1">
      <alignment horizontal="center" vertical="center"/>
    </xf>
    <xf numFmtId="0" fontId="30" fillId="0" borderId="0" xfId="4" applyFont="1" applyAlignment="1">
      <alignment horizontal="right" vertical="center" wrapText="1"/>
    </xf>
    <xf numFmtId="0" fontId="30" fillId="0" borderId="0" xfId="4" applyFont="1" applyAlignment="1">
      <alignment horizontal="left" vertical="center" wrapText="1"/>
    </xf>
    <xf numFmtId="0" fontId="25" fillId="0" borderId="0" xfId="4" applyFont="1" applyAlignment="1">
      <alignment horizontal="left" vertical="center" wrapText="1"/>
    </xf>
    <xf numFmtId="164" fontId="0" fillId="3" borderId="2" xfId="0" applyNumberFormat="1" applyFill="1" applyBorder="1" applyAlignment="1">
      <alignment horizontal="center" vertical="center"/>
    </xf>
    <xf numFmtId="1" fontId="42" fillId="0" borderId="7" xfId="0" applyNumberFormat="1" applyFont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7" borderId="39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45" fillId="3" borderId="50" xfId="1" applyFont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25" fillId="0" borderId="8" xfId="4" applyFont="1" applyBorder="1" applyAlignment="1">
      <alignment horizontal="right" wrapText="1"/>
    </xf>
    <xf numFmtId="0" fontId="25" fillId="0" borderId="9" xfId="4" applyFont="1" applyBorder="1" applyAlignment="1">
      <alignment horizontal="right" wrapText="1"/>
    </xf>
    <xf numFmtId="0" fontId="25" fillId="0" borderId="9" xfId="4" applyFont="1" applyBorder="1" applyAlignment="1">
      <alignment horizontal="right" vertical="center"/>
    </xf>
    <xf numFmtId="0" fontId="43" fillId="0" borderId="9" xfId="4" applyFont="1" applyBorder="1" applyAlignment="1">
      <alignment horizontal="left" vertical="center" wrapText="1"/>
    </xf>
    <xf numFmtId="0" fontId="0" fillId="3" borderId="11" xfId="0" applyFill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0" fillId="0" borderId="4" xfId="0" applyBorder="1" applyAlignment="1">
      <alignment horizontal="left" vertic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36" fillId="0" borderId="6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15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46" fillId="0" borderId="51" xfId="0" applyFont="1" applyBorder="1" applyAlignment="1">
      <alignment horizontal="center" vertical="center"/>
    </xf>
    <xf numFmtId="0" fontId="36" fillId="3" borderId="3" xfId="0" applyFont="1" applyFill="1" applyBorder="1" applyAlignment="1">
      <alignment horizontal="center" vertical="center"/>
    </xf>
    <xf numFmtId="0" fontId="36" fillId="3" borderId="5" xfId="0" applyFont="1" applyFill="1" applyBorder="1" applyAlignment="1">
      <alignment horizontal="center" vertical="center"/>
    </xf>
    <xf numFmtId="0" fontId="36" fillId="3" borderId="8" xfId="0" applyFont="1" applyFill="1" applyBorder="1" applyAlignment="1">
      <alignment horizontal="center" vertical="center"/>
    </xf>
    <xf numFmtId="0" fontId="36" fillId="3" borderId="10" xfId="0" applyFon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64" fontId="0" fillId="5" borderId="10" xfId="0" applyNumberFormat="1" applyFill="1" applyBorder="1" applyAlignment="1">
      <alignment horizontal="center" vertical="center"/>
    </xf>
    <xf numFmtId="2" fontId="0" fillId="7" borderId="25" xfId="0" applyNumberFormat="1" applyFill="1" applyBorder="1" applyAlignment="1">
      <alignment horizontal="center" vertical="center"/>
    </xf>
    <xf numFmtId="2" fontId="0" fillId="7" borderId="42" xfId="0" applyNumberFormat="1" applyFill="1" applyBorder="1" applyAlignment="1">
      <alignment horizontal="center" vertical="center"/>
    </xf>
    <xf numFmtId="0" fontId="46" fillId="0" borderId="3" xfId="0" applyFont="1" applyBorder="1" applyAlignment="1">
      <alignment horizontal="center" vertical="center"/>
    </xf>
    <xf numFmtId="0" fontId="0" fillId="0" borderId="15" xfId="0" applyBorder="1" applyAlignment="1">
      <alignment horizontal="right" vertical="center"/>
    </xf>
    <xf numFmtId="0" fontId="0" fillId="5" borderId="6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42" fillId="5" borderId="25" xfId="0" applyFont="1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2" fontId="0" fillId="7" borderId="7" xfId="0" applyNumberFormat="1" applyFill="1" applyBorder="1" applyAlignment="1">
      <alignment horizontal="center" vertical="center"/>
    </xf>
    <xf numFmtId="2" fontId="0" fillId="7" borderId="10" xfId="0" applyNumberFormat="1" applyFill="1" applyBorder="1" applyAlignment="1">
      <alignment horizontal="center" vertical="center"/>
    </xf>
    <xf numFmtId="0" fontId="47" fillId="0" borderId="0" xfId="0" applyFont="1" applyAlignment="1">
      <alignment horizontal="center"/>
    </xf>
    <xf numFmtId="0" fontId="47" fillId="0" borderId="7" xfId="0" applyFont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23" fillId="3" borderId="4" xfId="0" applyFont="1" applyFill="1" applyBorder="1" applyAlignment="1">
      <alignment horizontal="right" vertical="center"/>
    </xf>
    <xf numFmtId="0" fontId="0" fillId="0" borderId="39" xfId="0" applyBorder="1" applyAlignment="1">
      <alignment horizontal="center" vertical="center"/>
    </xf>
    <xf numFmtId="0" fontId="48" fillId="0" borderId="7" xfId="4" applyFont="1" applyBorder="1" applyAlignment="1">
      <alignment horizontal="left" vertical="center" wrapText="1"/>
    </xf>
    <xf numFmtId="0" fontId="0" fillId="0" borderId="13" xfId="0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4" xfId="0" applyBorder="1"/>
    <xf numFmtId="0" fontId="0" fillId="0" borderId="9" xfId="0" applyBorder="1" applyAlignment="1">
      <alignment horizontal="right" vertical="center"/>
    </xf>
    <xf numFmtId="0" fontId="0" fillId="0" borderId="9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0" fillId="0" borderId="10" xfId="0" applyBorder="1"/>
    <xf numFmtId="0" fontId="0" fillId="0" borderId="7" xfId="0" applyBorder="1"/>
    <xf numFmtId="0" fontId="0" fillId="0" borderId="6" xfId="0" applyBorder="1" applyAlignment="1">
      <alignment horizontal="left" vertical="center" wrapText="1"/>
    </xf>
    <xf numFmtId="2" fontId="0" fillId="7" borderId="0" xfId="0" applyNumberFormat="1" applyFill="1" applyAlignment="1">
      <alignment horizontal="center" vertical="center"/>
    </xf>
    <xf numFmtId="0" fontId="36" fillId="0" borderId="13" xfId="0" applyFont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7" borderId="6" xfId="0" applyFill="1" applyBorder="1" applyAlignment="1">
      <alignment horizontal="center"/>
    </xf>
    <xf numFmtId="0" fontId="0" fillId="7" borderId="0" xfId="0" applyFill="1" applyAlignment="1">
      <alignment horizontal="center" vertical="center"/>
    </xf>
    <xf numFmtId="0" fontId="40" fillId="0" borderId="9" xfId="0" applyFont="1" applyBorder="1" applyAlignment="1">
      <alignment horizontal="left" vertical="center"/>
    </xf>
    <xf numFmtId="0" fontId="0" fillId="7" borderId="8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49" fillId="7" borderId="6" xfId="0" applyFont="1" applyFill="1" applyBorder="1" applyAlignment="1">
      <alignment horizontal="center"/>
    </xf>
    <xf numFmtId="0" fontId="0" fillId="7" borderId="3" xfId="0" applyFill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/>
    </xf>
    <xf numFmtId="0" fontId="36" fillId="0" borderId="7" xfId="0" applyFont="1" applyBorder="1" applyAlignment="1">
      <alignment horizontal="center"/>
    </xf>
    <xf numFmtId="2" fontId="0" fillId="7" borderId="52" xfId="0" applyNumberFormat="1" applyFill="1" applyBorder="1" applyAlignment="1">
      <alignment horizontal="center" vertical="center"/>
    </xf>
    <xf numFmtId="0" fontId="0" fillId="5" borderId="52" xfId="0" applyFill="1" applyBorder="1" applyAlignment="1">
      <alignment horizontal="center" vertical="center"/>
    </xf>
    <xf numFmtId="165" fontId="0" fillId="0" borderId="52" xfId="0" applyNumberFormat="1" applyBorder="1" applyAlignment="1">
      <alignment horizontal="center" vertical="center"/>
    </xf>
    <xf numFmtId="2" fontId="0" fillId="7" borderId="9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2" fontId="0" fillId="7" borderId="48" xfId="0" applyNumberFormat="1" applyFill="1" applyBorder="1" applyAlignment="1">
      <alignment horizontal="center" vertical="center"/>
    </xf>
    <xf numFmtId="2" fontId="0" fillId="7" borderId="5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3" borderId="41" xfId="0" applyFill="1" applyBorder="1" applyAlignment="1">
      <alignment horizontal="center" vertical="center"/>
    </xf>
    <xf numFmtId="0" fontId="50" fillId="5" borderId="6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right" vertical="center"/>
    </xf>
    <xf numFmtId="0" fontId="0" fillId="5" borderId="6" xfId="0" applyFill="1" applyBorder="1" applyAlignment="1">
      <alignment horizontal="right" vertical="center"/>
    </xf>
    <xf numFmtId="164" fontId="0" fillId="5" borderId="6" xfId="0" applyNumberFormat="1" applyFill="1" applyBorder="1" applyAlignment="1">
      <alignment horizontal="center" vertical="center"/>
    </xf>
    <xf numFmtId="164" fontId="0" fillId="5" borderId="32" xfId="0" applyNumberFormat="1" applyFill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51" fillId="5" borderId="6" xfId="0" applyFont="1" applyFill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5" fontId="0" fillId="3" borderId="32" xfId="0" applyNumberFormat="1" applyFill="1" applyBorder="1" applyAlignment="1">
      <alignment horizontal="center" vertical="center"/>
    </xf>
    <xf numFmtId="0" fontId="51" fillId="5" borderId="2" xfId="0" applyFont="1" applyFill="1" applyBorder="1" applyAlignment="1">
      <alignment horizontal="center" vertical="center"/>
    </xf>
    <xf numFmtId="165" fontId="0" fillId="3" borderId="45" xfId="0" applyNumberFormat="1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8" xfId="0" applyNumberFormat="1" applyFill="1" applyBorder="1" applyAlignment="1">
      <alignment horizontal="center" vertical="center"/>
    </xf>
    <xf numFmtId="1" fontId="0" fillId="7" borderId="3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164" fontId="0" fillId="7" borderId="9" xfId="0" applyNumberFormat="1" applyFill="1" applyBorder="1" applyAlignment="1">
      <alignment horizontal="center" vertical="center"/>
    </xf>
    <xf numFmtId="165" fontId="0" fillId="3" borderId="2" xfId="0" applyNumberFormat="1" applyFill="1" applyBorder="1" applyAlignment="1">
      <alignment horizontal="center" vertical="center"/>
    </xf>
    <xf numFmtId="0" fontId="39" fillId="3" borderId="0" xfId="0" applyFont="1" applyFill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53" xfId="0" applyFont="1" applyBorder="1" applyAlignment="1">
      <alignment vertical="center"/>
    </xf>
    <xf numFmtId="0" fontId="31" fillId="0" borderId="30" xfId="0" applyFont="1" applyBorder="1" applyAlignment="1">
      <alignment vertical="center"/>
    </xf>
    <xf numFmtId="0" fontId="31" fillId="0" borderId="30" xfId="0" applyFont="1" applyBorder="1" applyAlignment="1">
      <alignment horizontal="left" vertical="center"/>
    </xf>
    <xf numFmtId="49" fontId="0" fillId="0" borderId="3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164" fontId="0" fillId="7" borderId="13" xfId="0" applyNumberFormat="1" applyFill="1" applyBorder="1" applyAlignment="1">
      <alignment horizontal="center" vertical="center"/>
    </xf>
    <xf numFmtId="164" fontId="0" fillId="7" borderId="14" xfId="0" applyNumberFormat="1" applyFill="1" applyBorder="1" applyAlignment="1">
      <alignment horizontal="center" vertical="center"/>
    </xf>
    <xf numFmtId="164" fontId="0" fillId="7" borderId="47" xfId="0" applyNumberFormat="1" applyFill="1" applyBorder="1" applyAlignment="1">
      <alignment horizontal="center" vertical="center"/>
    </xf>
    <xf numFmtId="0" fontId="30" fillId="0" borderId="3" xfId="4" applyFont="1" applyBorder="1" applyAlignment="1">
      <alignment horizontal="center" vertical="center" wrapText="1"/>
    </xf>
    <xf numFmtId="0" fontId="30" fillId="0" borderId="6" xfId="4" applyFont="1" applyBorder="1" applyAlignment="1">
      <alignment horizontal="center" vertical="center" wrapText="1"/>
    </xf>
    <xf numFmtId="0" fontId="30" fillId="0" borderId="8" xfId="4" applyFont="1" applyBorder="1" applyAlignment="1">
      <alignment horizontal="center" vertical="center" wrapText="1"/>
    </xf>
    <xf numFmtId="0" fontId="30" fillId="0" borderId="15" xfId="4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2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39" xfId="0" applyBorder="1" applyAlignment="1">
      <alignment horizontal="right" vertical="center"/>
    </xf>
    <xf numFmtId="0" fontId="30" fillId="0" borderId="6" xfId="4" applyFont="1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6" fillId="0" borderId="12" xfId="2" applyNumberFormat="1" applyFont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</cellXfs>
  <cellStyles count="5">
    <cellStyle name="Обычный" xfId="0" builtinId="0"/>
    <cellStyle name="Обычный 2 2" xfId="1"/>
    <cellStyle name="Обычный 2 3" xfId="2"/>
    <cellStyle name="Обычный 2 4" xfId="3"/>
    <cellStyle name="Обычный_Копия (2) OporaProm_OksN" xfId="4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19</xdr:col>
      <xdr:colOff>557213</xdr:colOff>
      <xdr:row>8</xdr:row>
      <xdr:rowOff>100013</xdr:rowOff>
    </xdr:to>
    <xdr:pic>
      <xdr:nvPicPr>
        <xdr:cNvPr id="21513" name="Рисунок 1">
          <a:extLst>
            <a:ext uri="{FF2B5EF4-FFF2-40B4-BE49-F238E27FC236}">
              <a16:creationId xmlns:a16="http://schemas.microsoft.com/office/drawing/2014/main" id="{00000000-0008-0000-0200-0000095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4" t="1228" r="1941"/>
        <a:stretch>
          <a:fillRect/>
        </a:stretch>
      </xdr:blipFill>
      <xdr:spPr bwMode="auto">
        <a:xfrm>
          <a:off x="8848725" y="366713"/>
          <a:ext cx="7681913" cy="137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7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7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8</xdr:row>
      <xdr:rowOff>166688</xdr:rowOff>
    </xdr:from>
    <xdr:to>
      <xdr:col>1</xdr:col>
      <xdr:colOff>1738313</xdr:colOff>
      <xdr:row>19</xdr:row>
      <xdr:rowOff>119063</xdr:rowOff>
    </xdr:to>
    <xdr:pic>
      <xdr:nvPicPr>
        <xdr:cNvPr id="19695" name="Рисунок 2">
          <a:extLst>
            <a:ext uri="{FF2B5EF4-FFF2-40B4-BE49-F238E27FC236}">
              <a16:creationId xmlns:a16="http://schemas.microsoft.com/office/drawing/2014/main" id="{00000000-0008-0000-0A00-0000EF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98"/>
        <a:stretch>
          <a:fillRect/>
        </a:stretch>
      </xdr:blipFill>
      <xdr:spPr bwMode="auto">
        <a:xfrm>
          <a:off x="738188" y="2057400"/>
          <a:ext cx="1728787" cy="194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B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B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8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G254"/>
  <sheetViews>
    <sheetView topLeftCell="A4" workbookViewId="0">
      <selection activeCell="C15" sqref="C15"/>
    </sheetView>
  </sheetViews>
  <sheetFormatPr defaultColWidth="8.86328125" defaultRowHeight="13.9" x14ac:dyDescent="0.4"/>
  <cols>
    <col min="1" max="1" width="55.46484375" style="29" customWidth="1"/>
    <col min="2" max="2" width="8.86328125" style="29"/>
    <col min="3" max="3" width="29.46484375" style="38" customWidth="1"/>
    <col min="4" max="4" width="28.86328125" style="29" customWidth="1"/>
    <col min="5" max="16384" width="8.86328125" style="29"/>
  </cols>
  <sheetData>
    <row r="1" spans="1:7" ht="15.4" x14ac:dyDescent="0.4">
      <c r="G1" s="25"/>
    </row>
    <row r="2" spans="1:7" ht="14.25" x14ac:dyDescent="0.4">
      <c r="G2" s="1"/>
    </row>
    <row r="3" spans="1:7" ht="15.4" x14ac:dyDescent="0.4">
      <c r="G3" s="27"/>
    </row>
    <row r="4" spans="1:7" ht="14.65" thickBot="1" x14ac:dyDescent="0.45">
      <c r="G4" s="1"/>
    </row>
    <row r="5" spans="1:7" ht="43.25" customHeight="1" thickBot="1" x14ac:dyDescent="0.45">
      <c r="A5" s="34" t="s">
        <v>31</v>
      </c>
      <c r="B5" s="36" t="s">
        <v>32</v>
      </c>
      <c r="C5" s="35" t="s">
        <v>33</v>
      </c>
      <c r="D5" s="37" t="s">
        <v>34</v>
      </c>
      <c r="G5" s="51" t="s">
        <v>27</v>
      </c>
    </row>
    <row r="6" spans="1:7" ht="23" customHeight="1" thickBot="1" x14ac:dyDescent="0.45">
      <c r="A6" s="387" t="s">
        <v>95</v>
      </c>
      <c r="B6" s="387"/>
      <c r="C6" s="387"/>
      <c r="D6" s="387"/>
      <c r="G6" s="24">
        <v>1</v>
      </c>
    </row>
    <row r="7" spans="1:7" ht="23" customHeight="1" thickBot="1" x14ac:dyDescent="0.45">
      <c r="A7" s="171" t="s">
        <v>250</v>
      </c>
      <c r="B7" s="171"/>
      <c r="C7" s="43" t="s">
        <v>251</v>
      </c>
      <c r="D7" s="171"/>
      <c r="G7" s="24"/>
    </row>
    <row r="8" spans="1:7" ht="39" customHeight="1" thickBot="1" x14ac:dyDescent="0.45">
      <c r="C8" s="43" t="s">
        <v>96</v>
      </c>
      <c r="D8" s="32"/>
      <c r="G8" s="24">
        <f>IF(C8=0,0,1)</f>
        <v>1</v>
      </c>
    </row>
    <row r="9" spans="1:7" ht="31.25" customHeight="1" thickBot="1" x14ac:dyDescent="0.45">
      <c r="A9" s="41" t="s">
        <v>86</v>
      </c>
      <c r="B9" s="42"/>
      <c r="C9" s="43" t="s">
        <v>87</v>
      </c>
      <c r="D9" s="32" t="s">
        <v>88</v>
      </c>
      <c r="G9" s="24">
        <f t="shared" ref="G9:G62" si="0">IF(C9=0,0,1)</f>
        <v>1</v>
      </c>
    </row>
    <row r="10" spans="1:7" ht="23" customHeight="1" thickBot="1" x14ac:dyDescent="0.45">
      <c r="A10" s="41" t="s">
        <v>83</v>
      </c>
      <c r="B10" s="42"/>
      <c r="C10" s="40" t="s">
        <v>84</v>
      </c>
      <c r="D10" s="32" t="s">
        <v>85</v>
      </c>
      <c r="G10" s="24">
        <f t="shared" si="0"/>
        <v>1</v>
      </c>
    </row>
    <row r="11" spans="1:7" ht="23" customHeight="1" thickBot="1" x14ac:dyDescent="0.45">
      <c r="A11" s="41" t="s">
        <v>97</v>
      </c>
      <c r="B11" s="42"/>
      <c r="C11" s="40" t="s">
        <v>194</v>
      </c>
      <c r="D11" s="32" t="s">
        <v>98</v>
      </c>
      <c r="G11" s="24">
        <f t="shared" si="0"/>
        <v>1</v>
      </c>
    </row>
    <row r="12" spans="1:7" ht="23" customHeight="1" thickBot="1" x14ac:dyDescent="0.45">
      <c r="A12" s="41" t="s">
        <v>89</v>
      </c>
      <c r="B12" s="30"/>
      <c r="C12" s="40" t="s">
        <v>90</v>
      </c>
      <c r="D12" s="32" t="s">
        <v>91</v>
      </c>
      <c r="G12" s="24">
        <f t="shared" si="0"/>
        <v>1</v>
      </c>
    </row>
    <row r="13" spans="1:7" ht="23" customHeight="1" thickBot="1" x14ac:dyDescent="0.45">
      <c r="A13" s="41" t="s">
        <v>92</v>
      </c>
      <c r="B13" s="30"/>
      <c r="C13" s="40" t="s">
        <v>93</v>
      </c>
      <c r="D13" s="32" t="s">
        <v>94</v>
      </c>
      <c r="G13" s="24">
        <f t="shared" si="0"/>
        <v>1</v>
      </c>
    </row>
    <row r="14" spans="1:7" ht="23" customHeight="1" thickBot="1" x14ac:dyDescent="0.45">
      <c r="A14" s="387" t="s">
        <v>15</v>
      </c>
      <c r="B14" s="387"/>
      <c r="C14" s="387"/>
      <c r="D14" s="387"/>
      <c r="G14" s="24">
        <v>1</v>
      </c>
    </row>
    <row r="15" spans="1:7" ht="23" customHeight="1" thickBot="1" x14ac:dyDescent="0.45">
      <c r="A15" s="41" t="s">
        <v>99</v>
      </c>
      <c r="B15" s="44" t="s">
        <v>100</v>
      </c>
      <c r="C15" s="40">
        <v>0.1</v>
      </c>
      <c r="D15" s="32" t="s">
        <v>101</v>
      </c>
      <c r="G15" s="24">
        <f t="shared" si="0"/>
        <v>1</v>
      </c>
    </row>
    <row r="16" spans="1:7" ht="23" customHeight="1" thickBot="1" x14ac:dyDescent="0.45">
      <c r="A16" s="41" t="s">
        <v>102</v>
      </c>
      <c r="B16" s="44" t="s">
        <v>100</v>
      </c>
      <c r="C16" s="40">
        <v>0.9</v>
      </c>
      <c r="D16" s="32" t="s">
        <v>103</v>
      </c>
      <c r="G16" s="24">
        <f t="shared" si="0"/>
        <v>1</v>
      </c>
    </row>
    <row r="17" spans="1:7" ht="23" customHeight="1" thickBot="1" x14ac:dyDescent="0.45">
      <c r="A17" s="41" t="s">
        <v>106</v>
      </c>
      <c r="B17" s="44"/>
      <c r="C17" s="40">
        <f>0.1*0</f>
        <v>0</v>
      </c>
      <c r="D17" s="32" t="s">
        <v>107</v>
      </c>
      <c r="G17" s="24">
        <f t="shared" si="0"/>
        <v>0</v>
      </c>
    </row>
    <row r="18" spans="1:7" ht="23" customHeight="1" thickBot="1" x14ac:dyDescent="0.45">
      <c r="A18" s="41" t="s">
        <v>108</v>
      </c>
      <c r="B18" s="44" t="s">
        <v>109</v>
      </c>
      <c r="C18" s="40">
        <f>2*0</f>
        <v>0</v>
      </c>
      <c r="D18" s="32" t="s">
        <v>110</v>
      </c>
      <c r="G18" s="24">
        <f t="shared" si="0"/>
        <v>0</v>
      </c>
    </row>
    <row r="19" spans="1:7" ht="23" customHeight="1" thickBot="1" x14ac:dyDescent="0.45">
      <c r="A19" s="41" t="s">
        <v>111</v>
      </c>
      <c r="B19" s="44" t="s">
        <v>109</v>
      </c>
      <c r="C19" s="40">
        <f>3*0</f>
        <v>0</v>
      </c>
      <c r="D19" s="32" t="s">
        <v>112</v>
      </c>
      <c r="G19" s="24">
        <f t="shared" si="0"/>
        <v>0</v>
      </c>
    </row>
    <row r="20" spans="1:7" ht="23" customHeight="1" thickBot="1" x14ac:dyDescent="0.45">
      <c r="A20" s="41" t="s">
        <v>113</v>
      </c>
      <c r="B20" s="44"/>
      <c r="C20" s="40">
        <f>0.1*0</f>
        <v>0</v>
      </c>
      <c r="D20" s="32" t="s">
        <v>114</v>
      </c>
      <c r="G20" s="24">
        <f t="shared" si="0"/>
        <v>0</v>
      </c>
    </row>
    <row r="21" spans="1:7" ht="23" customHeight="1" thickBot="1" x14ac:dyDescent="0.45">
      <c r="A21" s="41" t="s">
        <v>115</v>
      </c>
      <c r="B21" s="44" t="s">
        <v>109</v>
      </c>
      <c r="C21" s="40">
        <f>1*0</f>
        <v>0</v>
      </c>
      <c r="D21" s="32" t="s">
        <v>116</v>
      </c>
      <c r="G21" s="24">
        <f t="shared" si="0"/>
        <v>0</v>
      </c>
    </row>
    <row r="22" spans="1:7" ht="23" customHeight="1" thickBot="1" x14ac:dyDescent="0.45">
      <c r="A22" s="41" t="s">
        <v>117</v>
      </c>
      <c r="B22" s="44" t="s">
        <v>109</v>
      </c>
      <c r="C22" s="40">
        <v>1</v>
      </c>
      <c r="D22" s="32" t="s">
        <v>118</v>
      </c>
      <c r="G22" s="24">
        <f t="shared" si="0"/>
        <v>1</v>
      </c>
    </row>
    <row r="23" spans="1:7" ht="23" customHeight="1" thickBot="1" x14ac:dyDescent="0.45">
      <c r="A23" s="41" t="s">
        <v>119</v>
      </c>
      <c r="B23" s="44" t="s">
        <v>120</v>
      </c>
      <c r="C23" s="40">
        <v>1.91</v>
      </c>
      <c r="D23" s="32" t="s">
        <v>121</v>
      </c>
      <c r="G23" s="24">
        <f t="shared" si="0"/>
        <v>1</v>
      </c>
    </row>
    <row r="24" spans="1:7" ht="23" customHeight="1" thickBot="1" x14ac:dyDescent="0.45">
      <c r="A24" s="41" t="s">
        <v>122</v>
      </c>
      <c r="B24" s="44" t="s">
        <v>120</v>
      </c>
      <c r="C24" s="40">
        <v>2.66</v>
      </c>
      <c r="D24" s="32" t="s">
        <v>123</v>
      </c>
      <c r="G24" s="24">
        <f t="shared" si="0"/>
        <v>1</v>
      </c>
    </row>
    <row r="25" spans="1:7" ht="23" customHeight="1" thickBot="1" x14ac:dyDescent="0.45">
      <c r="A25" s="41" t="s">
        <v>124</v>
      </c>
      <c r="B25" s="44" t="s">
        <v>120</v>
      </c>
      <c r="C25" s="40">
        <v>6.11</v>
      </c>
      <c r="D25" s="32" t="s">
        <v>125</v>
      </c>
      <c r="G25" s="24">
        <f t="shared" si="0"/>
        <v>1</v>
      </c>
    </row>
    <row r="26" spans="1:7" ht="23" customHeight="1" thickBot="1" x14ac:dyDescent="0.45">
      <c r="A26" s="41" t="s">
        <v>126</v>
      </c>
      <c r="B26" s="44"/>
      <c r="C26" s="40">
        <v>2</v>
      </c>
      <c r="D26" s="32" t="s">
        <v>127</v>
      </c>
      <c r="G26" s="24">
        <f t="shared" si="0"/>
        <v>1</v>
      </c>
    </row>
    <row r="27" spans="1:7" ht="23" customHeight="1" thickBot="1" x14ac:dyDescent="0.45">
      <c r="A27" s="41" t="s">
        <v>128</v>
      </c>
      <c r="B27" s="44"/>
      <c r="C27" s="40">
        <v>2</v>
      </c>
      <c r="D27" s="32" t="s">
        <v>129</v>
      </c>
      <c r="G27" s="24">
        <f t="shared" si="0"/>
        <v>1</v>
      </c>
    </row>
    <row r="28" spans="1:7" ht="23" customHeight="1" thickBot="1" x14ac:dyDescent="0.45">
      <c r="A28" s="41" t="s">
        <v>130</v>
      </c>
      <c r="B28" s="44"/>
      <c r="C28" s="40">
        <v>2</v>
      </c>
      <c r="D28" s="32" t="s">
        <v>131</v>
      </c>
      <c r="G28" s="24">
        <f t="shared" si="0"/>
        <v>1</v>
      </c>
    </row>
    <row r="29" spans="1:7" ht="23" customHeight="1" thickBot="1" x14ac:dyDescent="0.45">
      <c r="A29" s="387" t="s">
        <v>16</v>
      </c>
      <c r="B29" s="387"/>
      <c r="C29" s="387"/>
      <c r="D29" s="387"/>
      <c r="G29" s="24">
        <v>1</v>
      </c>
    </row>
    <row r="30" spans="1:7" ht="23" customHeight="1" thickBot="1" x14ac:dyDescent="0.45">
      <c r="A30" s="41" t="s">
        <v>104</v>
      </c>
      <c r="B30" s="44" t="s">
        <v>100</v>
      </c>
      <c r="C30" s="40">
        <v>0.1</v>
      </c>
      <c r="D30" s="32" t="s">
        <v>105</v>
      </c>
      <c r="G30" s="24">
        <f>IF(C30=0,0,1)</f>
        <v>1</v>
      </c>
    </row>
    <row r="31" spans="1:7" ht="23" customHeight="1" thickBot="1" x14ac:dyDescent="0.45">
      <c r="A31" s="39" t="s">
        <v>189</v>
      </c>
      <c r="B31" s="31"/>
      <c r="C31" s="40" t="s">
        <v>190</v>
      </c>
      <c r="D31" s="32" t="s">
        <v>191</v>
      </c>
      <c r="G31" s="24">
        <f>IF(C31=0,0,1)</f>
        <v>1</v>
      </c>
    </row>
    <row r="32" spans="1:7" ht="23" customHeight="1" thickBot="1" x14ac:dyDescent="0.45">
      <c r="A32" s="39" t="s">
        <v>36</v>
      </c>
      <c r="B32" s="31"/>
      <c r="C32" s="40" t="s">
        <v>35</v>
      </c>
      <c r="D32" s="32" t="s">
        <v>37</v>
      </c>
      <c r="G32" s="24">
        <f t="shared" si="0"/>
        <v>1</v>
      </c>
    </row>
    <row r="33" spans="1:7" ht="23" customHeight="1" thickBot="1" x14ac:dyDescent="0.45">
      <c r="A33" s="41" t="s">
        <v>38</v>
      </c>
      <c r="B33" s="31"/>
      <c r="C33" s="40" t="s">
        <v>39</v>
      </c>
      <c r="D33" s="33" t="s">
        <v>40</v>
      </c>
      <c r="G33" s="24">
        <f t="shared" si="0"/>
        <v>1</v>
      </c>
    </row>
    <row r="34" spans="1:7" ht="23" customHeight="1" thickBot="1" x14ac:dyDescent="0.45">
      <c r="A34" s="39" t="s">
        <v>65</v>
      </c>
      <c r="B34" s="31"/>
      <c r="C34" s="40" t="s">
        <v>39</v>
      </c>
      <c r="D34" s="32" t="s">
        <v>66</v>
      </c>
      <c r="G34" s="24">
        <f t="shared" si="0"/>
        <v>1</v>
      </c>
    </row>
    <row r="35" spans="1:7" ht="23" customHeight="1" thickBot="1" x14ac:dyDescent="0.45">
      <c r="A35" s="39" t="s">
        <v>67</v>
      </c>
      <c r="B35" s="31"/>
      <c r="C35" s="40" t="s">
        <v>68</v>
      </c>
      <c r="D35" s="32" t="s">
        <v>69</v>
      </c>
      <c r="G35" s="24">
        <f t="shared" si="0"/>
        <v>1</v>
      </c>
    </row>
    <row r="36" spans="1:7" ht="23" customHeight="1" thickBot="1" x14ac:dyDescent="0.45">
      <c r="A36" s="387" t="s">
        <v>17</v>
      </c>
      <c r="B36" s="387"/>
      <c r="C36" s="387"/>
      <c r="D36" s="387"/>
      <c r="G36" s="24">
        <v>1</v>
      </c>
    </row>
    <row r="37" spans="1:7" ht="23" customHeight="1" thickBot="1" x14ac:dyDescent="0.45">
      <c r="A37" s="39" t="s">
        <v>41</v>
      </c>
      <c r="B37" s="32"/>
      <c r="C37" s="40" t="s">
        <v>42</v>
      </c>
      <c r="D37" s="32" t="s">
        <v>43</v>
      </c>
      <c r="G37" s="24">
        <f t="shared" si="0"/>
        <v>1</v>
      </c>
    </row>
    <row r="38" spans="1:7" ht="23" customHeight="1" thickBot="1" x14ac:dyDescent="0.45">
      <c r="A38" s="39" t="s">
        <v>51</v>
      </c>
      <c r="B38" s="31"/>
      <c r="C38" s="40" t="s">
        <v>52</v>
      </c>
      <c r="D38" s="32" t="s">
        <v>53</v>
      </c>
      <c r="G38" s="24">
        <f t="shared" si="0"/>
        <v>1</v>
      </c>
    </row>
    <row r="39" spans="1:7" ht="23" customHeight="1" thickBot="1" x14ac:dyDescent="0.45">
      <c r="A39" s="46" t="s">
        <v>49</v>
      </c>
      <c r="B39" s="47"/>
      <c r="C39" s="48" t="s">
        <v>39</v>
      </c>
      <c r="D39" s="49" t="s">
        <v>50</v>
      </c>
      <c r="G39" s="24">
        <f t="shared" si="0"/>
        <v>1</v>
      </c>
    </row>
    <row r="40" spans="1:7" ht="23" customHeight="1" thickBot="1" x14ac:dyDescent="0.45">
      <c r="A40" s="46" t="s">
        <v>54</v>
      </c>
      <c r="B40" s="47"/>
      <c r="C40" s="48" t="s">
        <v>55</v>
      </c>
      <c r="D40" s="49" t="s">
        <v>56</v>
      </c>
      <c r="G40" s="24">
        <f t="shared" si="0"/>
        <v>1</v>
      </c>
    </row>
    <row r="41" spans="1:7" ht="23" customHeight="1" thickBot="1" x14ac:dyDescent="0.45">
      <c r="A41" s="387" t="s">
        <v>18</v>
      </c>
      <c r="B41" s="387"/>
      <c r="C41" s="387"/>
      <c r="D41" s="387"/>
      <c r="G41" s="24">
        <v>1</v>
      </c>
    </row>
    <row r="42" spans="1:7" ht="23" customHeight="1" thickBot="1" x14ac:dyDescent="0.45">
      <c r="A42" s="39" t="s">
        <v>57</v>
      </c>
      <c r="B42" s="31"/>
      <c r="C42" s="40" t="s">
        <v>52</v>
      </c>
      <c r="D42" s="32" t="s">
        <v>58</v>
      </c>
      <c r="G42" s="24">
        <f t="shared" si="0"/>
        <v>1</v>
      </c>
    </row>
    <row r="43" spans="1:7" ht="23" customHeight="1" thickBot="1" x14ac:dyDescent="0.45">
      <c r="A43" s="39" t="s">
        <v>74</v>
      </c>
      <c r="B43" s="31"/>
      <c r="C43" s="40" t="s">
        <v>75</v>
      </c>
      <c r="D43" s="32" t="s">
        <v>76</v>
      </c>
      <c r="G43" s="24">
        <f t="shared" si="0"/>
        <v>1</v>
      </c>
    </row>
    <row r="44" spans="1:7" ht="23" customHeight="1" thickBot="1" x14ac:dyDescent="0.45">
      <c r="A44" s="46" t="s">
        <v>70</v>
      </c>
      <c r="B44" s="47"/>
      <c r="C44" s="48" t="s">
        <v>39</v>
      </c>
      <c r="D44" s="49" t="s">
        <v>71</v>
      </c>
      <c r="G44" s="24">
        <f t="shared" si="0"/>
        <v>1</v>
      </c>
    </row>
    <row r="45" spans="1:7" ht="23" customHeight="1" thickBot="1" x14ac:dyDescent="0.45">
      <c r="A45" s="46" t="s">
        <v>72</v>
      </c>
      <c r="B45" s="47"/>
      <c r="C45" s="48" t="s">
        <v>55</v>
      </c>
      <c r="D45" s="49" t="s">
        <v>73</v>
      </c>
      <c r="G45" s="24">
        <f t="shared" si="0"/>
        <v>1</v>
      </c>
    </row>
    <row r="46" spans="1:7" s="50" customFormat="1" ht="23" customHeight="1" thickBot="1" x14ac:dyDescent="0.45">
      <c r="A46" s="39" t="s">
        <v>143</v>
      </c>
      <c r="B46" s="44" t="s">
        <v>100</v>
      </c>
      <c r="C46" s="40">
        <v>0.3</v>
      </c>
      <c r="D46" s="32" t="s">
        <v>144</v>
      </c>
      <c r="E46" s="29"/>
      <c r="G46" s="24">
        <f t="shared" si="0"/>
        <v>1</v>
      </c>
    </row>
    <row r="47" spans="1:7" ht="23" customHeight="1" thickBot="1" x14ac:dyDescent="0.45">
      <c r="A47" s="387" t="s">
        <v>19</v>
      </c>
      <c r="B47" s="387"/>
      <c r="C47" s="387"/>
      <c r="D47" s="387"/>
      <c r="G47" s="24">
        <v>1</v>
      </c>
    </row>
    <row r="48" spans="1:7" ht="23" customHeight="1" thickBot="1" x14ac:dyDescent="0.45">
      <c r="A48" s="39" t="s">
        <v>44</v>
      </c>
      <c r="B48" s="31"/>
      <c r="C48" s="40" t="s">
        <v>39</v>
      </c>
      <c r="D48" s="32" t="s">
        <v>45</v>
      </c>
      <c r="G48" s="24">
        <f t="shared" si="0"/>
        <v>1</v>
      </c>
    </row>
    <row r="49" spans="1:7" ht="23" customHeight="1" thickBot="1" x14ac:dyDescent="0.45">
      <c r="A49" s="39" t="s">
        <v>46</v>
      </c>
      <c r="B49" s="31"/>
      <c r="C49" s="40" t="s">
        <v>47</v>
      </c>
      <c r="D49" s="32" t="s">
        <v>48</v>
      </c>
      <c r="G49" s="24">
        <f t="shared" si="0"/>
        <v>1</v>
      </c>
    </row>
    <row r="50" spans="1:7" ht="23" customHeight="1" thickBot="1" x14ac:dyDescent="0.45">
      <c r="A50" s="387" t="s">
        <v>23</v>
      </c>
      <c r="B50" s="387"/>
      <c r="C50" s="387"/>
      <c r="D50" s="387"/>
      <c r="G50" s="24">
        <v>1</v>
      </c>
    </row>
    <row r="51" spans="1:7" ht="23" customHeight="1" thickBot="1" x14ac:dyDescent="0.45">
      <c r="A51" s="39" t="s">
        <v>77</v>
      </c>
      <c r="B51" s="31"/>
      <c r="C51" s="40" t="s">
        <v>78</v>
      </c>
      <c r="D51" s="32" t="s">
        <v>79</v>
      </c>
      <c r="G51" s="24">
        <f t="shared" si="0"/>
        <v>1</v>
      </c>
    </row>
    <row r="52" spans="1:7" ht="23" customHeight="1" thickBot="1" x14ac:dyDescent="0.45">
      <c r="A52" s="39" t="s">
        <v>132</v>
      </c>
      <c r="B52" s="45"/>
      <c r="C52" s="40" t="s">
        <v>133</v>
      </c>
      <c r="D52" s="32" t="s">
        <v>134</v>
      </c>
      <c r="G52" s="24">
        <f t="shared" si="0"/>
        <v>1</v>
      </c>
    </row>
    <row r="53" spans="1:7" ht="23" customHeight="1" thickBot="1" x14ac:dyDescent="0.45">
      <c r="A53" s="39" t="s">
        <v>135</v>
      </c>
      <c r="B53" s="45"/>
      <c r="C53" s="40" t="s">
        <v>52</v>
      </c>
      <c r="D53" s="32" t="s">
        <v>136</v>
      </c>
      <c r="G53" s="24">
        <f t="shared" si="0"/>
        <v>1</v>
      </c>
    </row>
    <row r="54" spans="1:7" ht="23" customHeight="1" thickBot="1" x14ac:dyDescent="0.45">
      <c r="A54" s="46" t="s">
        <v>137</v>
      </c>
      <c r="B54" s="78"/>
      <c r="C54" s="48" t="s">
        <v>138</v>
      </c>
      <c r="D54" s="49" t="s">
        <v>139</v>
      </c>
      <c r="G54" s="24">
        <f t="shared" si="0"/>
        <v>1</v>
      </c>
    </row>
    <row r="55" spans="1:7" ht="23" customHeight="1" thickBot="1" x14ac:dyDescent="0.45">
      <c r="A55" s="46" t="s">
        <v>140</v>
      </c>
      <c r="B55" s="79"/>
      <c r="C55" s="48" t="s">
        <v>141</v>
      </c>
      <c r="D55" s="49" t="s">
        <v>142</v>
      </c>
      <c r="G55" s="24">
        <f t="shared" si="0"/>
        <v>1</v>
      </c>
    </row>
    <row r="56" spans="1:7" ht="23" customHeight="1" x14ac:dyDescent="0.4">
      <c r="A56" s="387" t="s">
        <v>20</v>
      </c>
      <c r="B56" s="387"/>
      <c r="C56" s="387"/>
      <c r="D56" s="387"/>
      <c r="G56" s="24">
        <v>1</v>
      </c>
    </row>
    <row r="57" spans="1:7" ht="23" customHeight="1" x14ac:dyDescent="0.4">
      <c r="C57" s="29"/>
      <c r="G57" s="24">
        <f t="shared" si="0"/>
        <v>0</v>
      </c>
    </row>
    <row r="58" spans="1:7" ht="23" customHeight="1" thickBot="1" x14ac:dyDescent="0.45">
      <c r="A58" s="387" t="s">
        <v>21</v>
      </c>
      <c r="B58" s="387"/>
      <c r="C58" s="387"/>
      <c r="D58" s="387"/>
      <c r="G58" s="24">
        <v>1</v>
      </c>
    </row>
    <row r="59" spans="1:7" ht="23" customHeight="1" thickBot="1" x14ac:dyDescent="0.45">
      <c r="A59" s="39" t="s">
        <v>59</v>
      </c>
      <c r="B59" s="31"/>
      <c r="C59" s="40" t="s">
        <v>60</v>
      </c>
      <c r="D59" s="32" t="s">
        <v>61</v>
      </c>
      <c r="G59" s="24">
        <f t="shared" si="0"/>
        <v>1</v>
      </c>
    </row>
    <row r="60" spans="1:7" ht="23" customHeight="1" thickBot="1" x14ac:dyDescent="0.45">
      <c r="A60" s="39" t="s">
        <v>62</v>
      </c>
      <c r="B60" s="31"/>
      <c r="C60" s="40" t="s">
        <v>63</v>
      </c>
      <c r="D60" s="32" t="s">
        <v>64</v>
      </c>
      <c r="G60" s="24">
        <f t="shared" si="0"/>
        <v>1</v>
      </c>
    </row>
    <row r="61" spans="1:7" ht="23" customHeight="1" thickBot="1" x14ac:dyDescent="0.45">
      <c r="A61" s="387" t="s">
        <v>22</v>
      </c>
      <c r="B61" s="387"/>
      <c r="C61" s="387"/>
      <c r="D61" s="387"/>
      <c r="G61" s="24">
        <v>1</v>
      </c>
    </row>
    <row r="62" spans="1:7" ht="23" customHeight="1" thickBot="1" x14ac:dyDescent="0.45">
      <c r="A62" s="39" t="s">
        <v>80</v>
      </c>
      <c r="B62" s="30"/>
      <c r="C62" s="40" t="s">
        <v>81</v>
      </c>
      <c r="D62" s="32" t="s">
        <v>82</v>
      </c>
      <c r="G62" s="24">
        <f t="shared" si="0"/>
        <v>1</v>
      </c>
    </row>
    <row r="63" spans="1:7" ht="23" customHeight="1" x14ac:dyDescent="0.4">
      <c r="G63" s="24">
        <v>2</v>
      </c>
    </row>
    <row r="64" spans="1:7" ht="23" customHeight="1" x14ac:dyDescent="0.4"/>
    <row r="65" spans="3:3" ht="23" customHeight="1" x14ac:dyDescent="0.4"/>
    <row r="66" spans="3:3" ht="23" customHeight="1" x14ac:dyDescent="0.4">
      <c r="C66" s="29"/>
    </row>
    <row r="67" spans="3:3" ht="23" customHeight="1" x14ac:dyDescent="0.4"/>
    <row r="68" spans="3:3" ht="23" customHeight="1" x14ac:dyDescent="0.4"/>
    <row r="69" spans="3:3" ht="23" customHeight="1" x14ac:dyDescent="0.4"/>
    <row r="70" spans="3:3" ht="23" customHeight="1" x14ac:dyDescent="0.4"/>
    <row r="71" spans="3:3" ht="23" customHeight="1" x14ac:dyDescent="0.4"/>
    <row r="72" spans="3:3" ht="23" customHeight="1" x14ac:dyDescent="0.4"/>
    <row r="73" spans="3:3" ht="23" customHeight="1" x14ac:dyDescent="0.4"/>
    <row r="74" spans="3:3" ht="23" customHeight="1" x14ac:dyDescent="0.4"/>
    <row r="75" spans="3:3" ht="23" customHeight="1" x14ac:dyDescent="0.4"/>
    <row r="76" spans="3:3" ht="23" customHeight="1" x14ac:dyDescent="0.4"/>
    <row r="77" spans="3:3" ht="23" customHeight="1" x14ac:dyDescent="0.4"/>
    <row r="78" spans="3:3" ht="23" customHeight="1" x14ac:dyDescent="0.4"/>
    <row r="79" spans="3:3" ht="23" customHeight="1" x14ac:dyDescent="0.4"/>
    <row r="80" spans="3:3" ht="23" customHeight="1" x14ac:dyDescent="0.4"/>
    <row r="81" ht="23" customHeight="1" x14ac:dyDescent="0.4"/>
    <row r="82" ht="23" customHeight="1" x14ac:dyDescent="0.4"/>
    <row r="83" ht="23" customHeight="1" x14ac:dyDescent="0.4"/>
    <row r="84" ht="23" customHeight="1" x14ac:dyDescent="0.4"/>
    <row r="85" ht="23" customHeight="1" x14ac:dyDescent="0.4"/>
    <row r="86" ht="23" customHeight="1" x14ac:dyDescent="0.4"/>
    <row r="87" ht="23" customHeight="1" x14ac:dyDescent="0.4"/>
    <row r="88" ht="23" customHeight="1" x14ac:dyDescent="0.4"/>
    <row r="89" ht="23" customHeight="1" x14ac:dyDescent="0.4"/>
    <row r="90" ht="23" customHeight="1" x14ac:dyDescent="0.4"/>
    <row r="91" ht="23" customHeight="1" x14ac:dyDescent="0.4"/>
    <row r="92" ht="23" customHeight="1" x14ac:dyDescent="0.4"/>
    <row r="93" ht="23" customHeight="1" x14ac:dyDescent="0.4"/>
    <row r="94" ht="23" customHeight="1" x14ac:dyDescent="0.4"/>
    <row r="95" ht="23" customHeight="1" x14ac:dyDescent="0.4"/>
    <row r="96" ht="23" customHeight="1" x14ac:dyDescent="0.4"/>
    <row r="97" ht="23" customHeight="1" x14ac:dyDescent="0.4"/>
    <row r="98" ht="23" customHeight="1" x14ac:dyDescent="0.4"/>
    <row r="99" ht="23" customHeight="1" x14ac:dyDescent="0.4"/>
    <row r="100" ht="23" customHeight="1" x14ac:dyDescent="0.4"/>
    <row r="101" ht="23" customHeight="1" x14ac:dyDescent="0.4"/>
    <row r="102" ht="23" customHeight="1" x14ac:dyDescent="0.4"/>
    <row r="103" ht="23" customHeight="1" x14ac:dyDescent="0.4"/>
    <row r="104" ht="23" customHeight="1" x14ac:dyDescent="0.4"/>
    <row r="105" ht="23" customHeight="1" x14ac:dyDescent="0.4"/>
    <row r="106" ht="23" customHeight="1" x14ac:dyDescent="0.4"/>
    <row r="107" ht="23" customHeight="1" x14ac:dyDescent="0.4"/>
    <row r="108" ht="23" customHeight="1" x14ac:dyDescent="0.4"/>
    <row r="109" ht="23" customHeight="1" x14ac:dyDescent="0.4"/>
    <row r="110" ht="23" customHeight="1" x14ac:dyDescent="0.4"/>
    <row r="111" ht="23" customHeight="1" x14ac:dyDescent="0.4"/>
    <row r="112" ht="23" customHeight="1" x14ac:dyDescent="0.4"/>
    <row r="113" ht="23" customHeight="1" x14ac:dyDescent="0.4"/>
    <row r="114" ht="23" customHeight="1" x14ac:dyDescent="0.4"/>
    <row r="115" ht="23" customHeight="1" x14ac:dyDescent="0.4"/>
    <row r="116" ht="23" customHeight="1" x14ac:dyDescent="0.4"/>
    <row r="117" ht="23" customHeight="1" x14ac:dyDescent="0.4"/>
    <row r="118" ht="23" customHeight="1" x14ac:dyDescent="0.4"/>
    <row r="119" ht="23" customHeight="1" x14ac:dyDescent="0.4"/>
    <row r="120" ht="23" customHeight="1" x14ac:dyDescent="0.4"/>
    <row r="121" ht="23" customHeight="1" x14ac:dyDescent="0.4"/>
    <row r="122" ht="23" customHeight="1" x14ac:dyDescent="0.4"/>
    <row r="123" ht="23" customHeight="1" x14ac:dyDescent="0.4"/>
    <row r="124" ht="23" customHeight="1" x14ac:dyDescent="0.4"/>
    <row r="125" ht="23" customHeight="1" x14ac:dyDescent="0.4"/>
    <row r="126" ht="23" customHeight="1" x14ac:dyDescent="0.4"/>
    <row r="127" ht="23" customHeight="1" x14ac:dyDescent="0.4"/>
    <row r="128" ht="23" customHeight="1" x14ac:dyDescent="0.4"/>
    <row r="129" ht="23" customHeight="1" x14ac:dyDescent="0.4"/>
    <row r="130" ht="23" customHeight="1" x14ac:dyDescent="0.4"/>
    <row r="131" ht="23" customHeight="1" x14ac:dyDescent="0.4"/>
    <row r="132" ht="23" customHeight="1" x14ac:dyDescent="0.4"/>
    <row r="133" ht="23" customHeight="1" x14ac:dyDescent="0.4"/>
    <row r="134" ht="23" customHeight="1" x14ac:dyDescent="0.4"/>
    <row r="135" ht="23" customHeight="1" x14ac:dyDescent="0.4"/>
    <row r="136" ht="23" customHeight="1" x14ac:dyDescent="0.4"/>
    <row r="137" ht="23" customHeight="1" x14ac:dyDescent="0.4"/>
    <row r="138" ht="23" customHeight="1" x14ac:dyDescent="0.4"/>
    <row r="139" ht="23" customHeight="1" x14ac:dyDescent="0.4"/>
    <row r="140" ht="23" customHeight="1" x14ac:dyDescent="0.4"/>
    <row r="141" ht="23" customHeight="1" x14ac:dyDescent="0.4"/>
    <row r="142" ht="23" customHeight="1" x14ac:dyDescent="0.4"/>
    <row r="143" ht="23" customHeight="1" x14ac:dyDescent="0.4"/>
    <row r="144" ht="23" customHeight="1" x14ac:dyDescent="0.4"/>
    <row r="145" ht="23" customHeight="1" x14ac:dyDescent="0.4"/>
    <row r="146" ht="23" customHeight="1" x14ac:dyDescent="0.4"/>
    <row r="147" ht="23" customHeight="1" x14ac:dyDescent="0.4"/>
    <row r="148" ht="23" customHeight="1" x14ac:dyDescent="0.4"/>
    <row r="149" ht="23" customHeight="1" x14ac:dyDescent="0.4"/>
    <row r="150" ht="23" customHeight="1" x14ac:dyDescent="0.4"/>
    <row r="151" ht="23" customHeight="1" x14ac:dyDescent="0.4"/>
    <row r="152" ht="23" customHeight="1" x14ac:dyDescent="0.4"/>
    <row r="153" ht="23" customHeight="1" x14ac:dyDescent="0.4"/>
    <row r="154" ht="23" customHeight="1" x14ac:dyDescent="0.4"/>
    <row r="155" ht="23" customHeight="1" x14ac:dyDescent="0.4"/>
    <row r="156" ht="23" customHeight="1" x14ac:dyDescent="0.4"/>
    <row r="157" ht="23" customHeight="1" x14ac:dyDescent="0.4"/>
    <row r="158" ht="23" customHeight="1" x14ac:dyDescent="0.4"/>
    <row r="159" ht="23" customHeight="1" x14ac:dyDescent="0.4"/>
    <row r="160" ht="23" customHeight="1" x14ac:dyDescent="0.4"/>
    <row r="161" ht="23" customHeight="1" x14ac:dyDescent="0.4"/>
    <row r="162" ht="23" customHeight="1" x14ac:dyDescent="0.4"/>
    <row r="163" ht="23" customHeight="1" x14ac:dyDescent="0.4"/>
    <row r="164" ht="23" customHeight="1" x14ac:dyDescent="0.4"/>
    <row r="165" ht="23" customHeight="1" x14ac:dyDescent="0.4"/>
    <row r="166" ht="23" customHeight="1" x14ac:dyDescent="0.4"/>
    <row r="167" ht="23" customHeight="1" x14ac:dyDescent="0.4"/>
    <row r="168" ht="23" customHeight="1" x14ac:dyDescent="0.4"/>
    <row r="169" ht="23" customHeight="1" x14ac:dyDescent="0.4"/>
    <row r="170" ht="23" customHeight="1" x14ac:dyDescent="0.4"/>
    <row r="171" ht="23" customHeight="1" x14ac:dyDescent="0.4"/>
    <row r="172" ht="23" customHeight="1" x14ac:dyDescent="0.4"/>
    <row r="173" ht="23" customHeight="1" x14ac:dyDescent="0.4"/>
    <row r="174" ht="23" customHeight="1" x14ac:dyDescent="0.4"/>
    <row r="175" ht="23" customHeight="1" x14ac:dyDescent="0.4"/>
    <row r="176" ht="23" customHeight="1" x14ac:dyDescent="0.4"/>
    <row r="177" ht="23" customHeight="1" x14ac:dyDescent="0.4"/>
    <row r="178" ht="23" customHeight="1" x14ac:dyDescent="0.4"/>
    <row r="179" ht="23" customHeight="1" x14ac:dyDescent="0.4"/>
    <row r="180" ht="23" customHeight="1" x14ac:dyDescent="0.4"/>
    <row r="181" ht="23" customHeight="1" x14ac:dyDescent="0.4"/>
    <row r="182" ht="23" customHeight="1" x14ac:dyDescent="0.4"/>
    <row r="183" ht="23" customHeight="1" x14ac:dyDescent="0.4"/>
    <row r="184" ht="23" customHeight="1" x14ac:dyDescent="0.4"/>
    <row r="185" ht="23" customHeight="1" x14ac:dyDescent="0.4"/>
    <row r="186" ht="23" customHeight="1" x14ac:dyDescent="0.4"/>
    <row r="187" ht="23" customHeight="1" x14ac:dyDescent="0.4"/>
    <row r="188" ht="23" customHeight="1" x14ac:dyDescent="0.4"/>
    <row r="189" ht="23" customHeight="1" x14ac:dyDescent="0.4"/>
    <row r="190" ht="23" customHeight="1" x14ac:dyDescent="0.4"/>
    <row r="191" ht="23" customHeight="1" x14ac:dyDescent="0.4"/>
    <row r="192" ht="23" customHeight="1" x14ac:dyDescent="0.4"/>
    <row r="193" ht="23" customHeight="1" x14ac:dyDescent="0.4"/>
    <row r="194" ht="23" customHeight="1" x14ac:dyDescent="0.4"/>
    <row r="195" ht="23" customHeight="1" x14ac:dyDescent="0.4"/>
    <row r="196" ht="23" customHeight="1" x14ac:dyDescent="0.4"/>
    <row r="197" ht="23" customHeight="1" x14ac:dyDescent="0.4"/>
    <row r="198" ht="23" customHeight="1" x14ac:dyDescent="0.4"/>
    <row r="199" ht="23" customHeight="1" x14ac:dyDescent="0.4"/>
    <row r="200" ht="23" customHeight="1" x14ac:dyDescent="0.4"/>
    <row r="201" ht="23" customHeight="1" x14ac:dyDescent="0.4"/>
    <row r="202" ht="23" customHeight="1" x14ac:dyDescent="0.4"/>
    <row r="203" ht="23" customHeight="1" x14ac:dyDescent="0.4"/>
    <row r="204" ht="23" customHeight="1" x14ac:dyDescent="0.4"/>
    <row r="205" ht="23" customHeight="1" x14ac:dyDescent="0.4"/>
    <row r="206" ht="23" customHeight="1" x14ac:dyDescent="0.4"/>
    <row r="207" ht="23" customHeight="1" x14ac:dyDescent="0.4"/>
    <row r="208" ht="23" customHeight="1" x14ac:dyDescent="0.4"/>
    <row r="209" ht="23" customHeight="1" x14ac:dyDescent="0.4"/>
    <row r="210" ht="23" customHeight="1" x14ac:dyDescent="0.4"/>
    <row r="211" ht="23" customHeight="1" x14ac:dyDescent="0.4"/>
    <row r="212" ht="23" customHeight="1" x14ac:dyDescent="0.4"/>
    <row r="213" ht="23" customHeight="1" x14ac:dyDescent="0.4"/>
    <row r="214" ht="23" customHeight="1" x14ac:dyDescent="0.4"/>
    <row r="215" ht="23" customHeight="1" x14ac:dyDescent="0.4"/>
    <row r="216" ht="23" customHeight="1" x14ac:dyDescent="0.4"/>
    <row r="217" ht="23" customHeight="1" x14ac:dyDescent="0.4"/>
    <row r="218" ht="23" customHeight="1" x14ac:dyDescent="0.4"/>
    <row r="219" ht="23" customHeight="1" x14ac:dyDescent="0.4"/>
    <row r="220" ht="23" customHeight="1" x14ac:dyDescent="0.4"/>
    <row r="221" ht="23" customHeight="1" x14ac:dyDescent="0.4"/>
    <row r="222" ht="23" customHeight="1" x14ac:dyDescent="0.4"/>
    <row r="223" ht="23" customHeight="1" x14ac:dyDescent="0.4"/>
    <row r="224" ht="23" customHeight="1" x14ac:dyDescent="0.4"/>
    <row r="225" ht="23" customHeight="1" x14ac:dyDescent="0.4"/>
    <row r="226" ht="23" customHeight="1" x14ac:dyDescent="0.4"/>
    <row r="227" ht="23" customHeight="1" x14ac:dyDescent="0.4"/>
    <row r="228" ht="23" customHeight="1" x14ac:dyDescent="0.4"/>
    <row r="229" ht="23" customHeight="1" x14ac:dyDescent="0.4"/>
    <row r="230" ht="23" customHeight="1" x14ac:dyDescent="0.4"/>
    <row r="231" ht="23" customHeight="1" x14ac:dyDescent="0.4"/>
    <row r="232" ht="23" customHeight="1" x14ac:dyDescent="0.4"/>
    <row r="233" ht="23" customHeight="1" x14ac:dyDescent="0.4"/>
    <row r="234" ht="23" customHeight="1" x14ac:dyDescent="0.4"/>
    <row r="235" ht="23" customHeight="1" x14ac:dyDescent="0.4"/>
    <row r="236" ht="23" customHeight="1" x14ac:dyDescent="0.4"/>
    <row r="237" ht="23" customHeight="1" x14ac:dyDescent="0.4"/>
    <row r="238" ht="23" customHeight="1" x14ac:dyDescent="0.4"/>
    <row r="239" ht="23" customHeight="1" x14ac:dyDescent="0.4"/>
    <row r="240" ht="23" customHeight="1" x14ac:dyDescent="0.4"/>
    <row r="241" ht="23" customHeight="1" x14ac:dyDescent="0.4"/>
    <row r="242" ht="23" customHeight="1" x14ac:dyDescent="0.4"/>
    <row r="243" ht="23" customHeight="1" x14ac:dyDescent="0.4"/>
    <row r="244" ht="23" customHeight="1" x14ac:dyDescent="0.4"/>
    <row r="245" ht="23" customHeight="1" x14ac:dyDescent="0.4"/>
    <row r="246" ht="23" customHeight="1" x14ac:dyDescent="0.4"/>
    <row r="247" ht="23" customHeight="1" x14ac:dyDescent="0.4"/>
    <row r="248" ht="23" customHeight="1" x14ac:dyDescent="0.4"/>
    <row r="249" ht="23" customHeight="1" x14ac:dyDescent="0.4"/>
    <row r="250" ht="23" customHeight="1" x14ac:dyDescent="0.4"/>
    <row r="251" ht="23" customHeight="1" x14ac:dyDescent="0.4"/>
    <row r="252" ht="23" customHeight="1" x14ac:dyDescent="0.4"/>
    <row r="253" ht="23" customHeight="1" x14ac:dyDescent="0.4"/>
    <row r="254" ht="23" customHeight="1" x14ac:dyDescent="0.4"/>
  </sheetData>
  <mergeCells count="10">
    <mergeCell ref="A61:D61"/>
    <mergeCell ref="A56:D56"/>
    <mergeCell ref="A14:D14"/>
    <mergeCell ref="A6:D6"/>
    <mergeCell ref="A29:D29"/>
    <mergeCell ref="A36:D36"/>
    <mergeCell ref="A41:D41"/>
    <mergeCell ref="A47:D47"/>
    <mergeCell ref="A50:D50"/>
    <mergeCell ref="A58:D5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unhid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otob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_xludf.unhid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tob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1:H161"/>
  <sheetViews>
    <sheetView topLeftCell="A70" workbookViewId="0">
      <selection activeCell="B94" sqref="B94"/>
    </sheetView>
  </sheetViews>
  <sheetFormatPr defaultColWidth="8.86328125" defaultRowHeight="13.15" x14ac:dyDescent="0.4"/>
  <cols>
    <col min="1" max="1" width="8.86328125" style="64"/>
    <col min="2" max="2" width="66.46484375" style="64" customWidth="1"/>
    <col min="3" max="4" width="8.86328125" style="64"/>
    <col min="5" max="5" width="8.86328125" style="64" hidden="1" customWidth="1"/>
    <col min="6" max="6" width="0" style="64" hidden="1" customWidth="1"/>
    <col min="7" max="7" width="8.86328125" style="64"/>
    <col min="8" max="8" width="8.86328125" style="65"/>
    <col min="9" max="16384" width="8.86328125" style="64"/>
  </cols>
  <sheetData>
    <row r="1" spans="2:4" ht="18" hidden="1" customHeight="1" x14ac:dyDescent="0.4"/>
    <row r="2" spans="2:4" ht="18" hidden="1" customHeight="1" x14ac:dyDescent="0.4"/>
    <row r="3" spans="2:4" ht="18" customHeight="1" x14ac:dyDescent="0.4"/>
    <row r="4" spans="2:4" s="65" customFormat="1" ht="29" customHeight="1" x14ac:dyDescent="0.45">
      <c r="B4" s="388" t="s">
        <v>148</v>
      </c>
      <c r="C4" s="389"/>
      <c r="D4" s="390"/>
    </row>
    <row r="5" spans="2:4" s="65" customFormat="1" ht="18" customHeight="1" thickBot="1" x14ac:dyDescent="0.5">
      <c r="B5" s="86" t="s">
        <v>149</v>
      </c>
      <c r="C5" s="69" t="s">
        <v>150</v>
      </c>
      <c r="D5" s="70" t="s">
        <v>151</v>
      </c>
    </row>
    <row r="6" spans="2:4" s="65" customFormat="1" ht="18" customHeight="1" x14ac:dyDescent="0.45">
      <c r="B6" s="98" t="s">
        <v>0</v>
      </c>
      <c r="C6" s="95"/>
      <c r="D6" s="96"/>
    </row>
    <row r="7" spans="2:4" s="65" customFormat="1" ht="18" customHeight="1" x14ac:dyDescent="0.45">
      <c r="B7" s="391" t="s">
        <v>152</v>
      </c>
      <c r="C7" s="69" t="s">
        <v>153</v>
      </c>
      <c r="D7" s="87">
        <v>1</v>
      </c>
    </row>
    <row r="8" spans="2:4" s="65" customFormat="1" ht="18" customHeight="1" x14ac:dyDescent="0.45">
      <c r="B8" s="392"/>
      <c r="C8" s="71" t="s">
        <v>154</v>
      </c>
      <c r="D8" s="87">
        <v>1</v>
      </c>
    </row>
    <row r="9" spans="2:4" s="65" customFormat="1" ht="18" customHeight="1" x14ac:dyDescent="0.45">
      <c r="B9" s="88" t="s">
        <v>155</v>
      </c>
      <c r="C9" s="71" t="s">
        <v>156</v>
      </c>
      <c r="D9" s="87">
        <v>1</v>
      </c>
    </row>
    <row r="10" spans="2:4" s="65" customFormat="1" ht="18" customHeight="1" x14ac:dyDescent="0.45">
      <c r="B10" s="88" t="s">
        <v>157</v>
      </c>
      <c r="C10" s="71" t="s">
        <v>153</v>
      </c>
      <c r="D10" s="87">
        <v>1</v>
      </c>
    </row>
    <row r="11" spans="2:4" s="65" customFormat="1" ht="18" customHeight="1" x14ac:dyDescent="0.45">
      <c r="B11" s="88" t="s">
        <v>158</v>
      </c>
      <c r="C11" s="71" t="s">
        <v>159</v>
      </c>
      <c r="D11" s="87">
        <v>1</v>
      </c>
    </row>
    <row r="12" spans="2:4" s="65" customFormat="1" ht="18" customHeight="1" x14ac:dyDescent="0.45">
      <c r="B12" s="393" t="s">
        <v>160</v>
      </c>
      <c r="C12" s="71" t="s">
        <v>159</v>
      </c>
      <c r="D12" s="87">
        <v>1</v>
      </c>
    </row>
    <row r="13" spans="2:4" s="65" customFormat="1" ht="18" customHeight="1" x14ac:dyDescent="0.45">
      <c r="B13" s="393"/>
      <c r="C13" s="71" t="s">
        <v>156</v>
      </c>
      <c r="D13" s="87">
        <v>1</v>
      </c>
    </row>
    <row r="14" spans="2:4" s="65" customFormat="1" ht="18" customHeight="1" x14ac:dyDescent="0.45">
      <c r="B14" s="392" t="s">
        <v>161</v>
      </c>
      <c r="C14" s="71" t="s">
        <v>153</v>
      </c>
      <c r="D14" s="87">
        <v>1</v>
      </c>
    </row>
    <row r="15" spans="2:4" s="65" customFormat="1" ht="18" customHeight="1" x14ac:dyDescent="0.45">
      <c r="B15" s="392"/>
      <c r="C15" s="71" t="s">
        <v>162</v>
      </c>
      <c r="D15" s="87">
        <v>1</v>
      </c>
    </row>
    <row r="16" spans="2:4" s="65" customFormat="1" ht="18" customHeight="1" x14ac:dyDescent="0.45">
      <c r="B16" s="88" t="s">
        <v>163</v>
      </c>
      <c r="C16" s="71" t="s">
        <v>162</v>
      </c>
      <c r="D16" s="87">
        <v>1</v>
      </c>
    </row>
    <row r="17" spans="2:4" s="65" customFormat="1" ht="18" customHeight="1" x14ac:dyDescent="0.45">
      <c r="B17" s="88" t="s">
        <v>164</v>
      </c>
      <c r="C17" s="71" t="s">
        <v>162</v>
      </c>
      <c r="D17" s="87">
        <v>1</v>
      </c>
    </row>
    <row r="18" spans="2:4" s="65" customFormat="1" ht="18" customHeight="1" x14ac:dyDescent="0.45">
      <c r="B18" s="88" t="s">
        <v>165</v>
      </c>
      <c r="C18" s="71" t="s">
        <v>156</v>
      </c>
      <c r="D18" s="87">
        <v>1</v>
      </c>
    </row>
    <row r="19" spans="2:4" s="65" customFormat="1" ht="18" customHeight="1" x14ac:dyDescent="0.45">
      <c r="B19" s="88" t="s">
        <v>166</v>
      </c>
      <c r="C19" s="71" t="s">
        <v>156</v>
      </c>
      <c r="D19" s="87">
        <v>1</v>
      </c>
    </row>
    <row r="20" spans="2:4" s="65" customFormat="1" ht="18" customHeight="1" x14ac:dyDescent="0.45">
      <c r="B20" s="88" t="s">
        <v>167</v>
      </c>
      <c r="C20" s="71" t="s">
        <v>153</v>
      </c>
      <c r="D20" s="87">
        <v>1</v>
      </c>
    </row>
    <row r="21" spans="2:4" s="65" customFormat="1" ht="18" customHeight="1" x14ac:dyDescent="0.45">
      <c r="B21" s="89" t="s">
        <v>168</v>
      </c>
      <c r="C21" s="71" t="s">
        <v>156</v>
      </c>
      <c r="D21" s="87">
        <v>1</v>
      </c>
    </row>
    <row r="22" spans="2:4" s="65" customFormat="1" ht="18" customHeight="1" x14ac:dyDescent="0.45">
      <c r="B22" s="99" t="s">
        <v>169</v>
      </c>
      <c r="C22" s="82"/>
      <c r="D22" s="97"/>
    </row>
    <row r="23" spans="2:4" s="65" customFormat="1" ht="18" customHeight="1" x14ac:dyDescent="0.45">
      <c r="B23" s="90" t="s">
        <v>170</v>
      </c>
      <c r="C23" s="69" t="s">
        <v>159</v>
      </c>
      <c r="D23" s="87">
        <v>1</v>
      </c>
    </row>
    <row r="24" spans="2:4" s="65" customFormat="1" ht="18" customHeight="1" x14ac:dyDescent="0.45">
      <c r="B24" s="91" t="s">
        <v>171</v>
      </c>
      <c r="C24" s="71" t="s">
        <v>159</v>
      </c>
      <c r="D24" s="87">
        <v>1</v>
      </c>
    </row>
    <row r="25" spans="2:4" s="65" customFormat="1" ht="18" customHeight="1" x14ac:dyDescent="0.45">
      <c r="B25" s="91" t="s">
        <v>172</v>
      </c>
      <c r="C25" s="71" t="s">
        <v>159</v>
      </c>
      <c r="D25" s="87">
        <v>1</v>
      </c>
    </row>
    <row r="26" spans="2:4" s="65" customFormat="1" ht="18" customHeight="1" x14ac:dyDescent="0.45">
      <c r="B26" s="91" t="s">
        <v>173</v>
      </c>
      <c r="C26" s="71" t="s">
        <v>156</v>
      </c>
      <c r="D26" s="87">
        <v>1</v>
      </c>
    </row>
    <row r="27" spans="2:4" s="65" customFormat="1" ht="18" customHeight="1" x14ac:dyDescent="0.45">
      <c r="B27" s="91" t="s">
        <v>174</v>
      </c>
      <c r="C27" s="71" t="s">
        <v>156</v>
      </c>
      <c r="D27" s="87">
        <v>1</v>
      </c>
    </row>
    <row r="28" spans="2:4" s="65" customFormat="1" ht="18" customHeight="1" x14ac:dyDescent="0.45">
      <c r="B28" s="91" t="s">
        <v>175</v>
      </c>
      <c r="C28" s="71" t="s">
        <v>156</v>
      </c>
      <c r="D28" s="87">
        <v>1</v>
      </c>
    </row>
    <row r="29" spans="2:4" s="65" customFormat="1" ht="18" customHeight="1" thickBot="1" x14ac:dyDescent="0.5">
      <c r="B29" s="92" t="s">
        <v>176</v>
      </c>
      <c r="C29" s="93" t="s">
        <v>156</v>
      </c>
      <c r="D29" s="94">
        <v>1</v>
      </c>
    </row>
    <row r="30" spans="2:4" s="65" customFormat="1" ht="18" customHeight="1" x14ac:dyDescent="0.45"/>
    <row r="31" spans="2:4" s="65" customFormat="1" ht="18" hidden="1" customHeight="1" x14ac:dyDescent="0.45"/>
    <row r="32" spans="2:4" s="65" customFormat="1" ht="18" hidden="1" customHeight="1" x14ac:dyDescent="0.45"/>
    <row r="33" spans="2:4" s="65" customFormat="1" ht="18" hidden="1" customHeight="1" x14ac:dyDescent="0.45"/>
    <row r="34" spans="2:4" s="65" customFormat="1" ht="18" hidden="1" customHeight="1" x14ac:dyDescent="0.45"/>
    <row r="35" spans="2:4" s="65" customFormat="1" ht="18" hidden="1" customHeight="1" x14ac:dyDescent="0.45"/>
    <row r="36" spans="2:4" s="65" customFormat="1" ht="18" hidden="1" customHeight="1" x14ac:dyDescent="0.45"/>
    <row r="37" spans="2:4" s="65" customFormat="1" ht="18" hidden="1" customHeight="1" x14ac:dyDescent="0.45"/>
    <row r="38" spans="2:4" s="65" customFormat="1" ht="18" hidden="1" customHeight="1" x14ac:dyDescent="0.45"/>
    <row r="39" spans="2:4" s="65" customFormat="1" ht="18" hidden="1" customHeight="1" x14ac:dyDescent="0.45"/>
    <row r="40" spans="2:4" s="65" customFormat="1" ht="18" hidden="1" customHeight="1" x14ac:dyDescent="0.45"/>
    <row r="41" spans="2:4" s="65" customFormat="1" ht="18" hidden="1" customHeight="1" x14ac:dyDescent="0.45"/>
    <row r="42" spans="2:4" s="65" customFormat="1" ht="18" hidden="1" customHeight="1" x14ac:dyDescent="0.45"/>
    <row r="43" spans="2:4" s="65" customFormat="1" ht="18" hidden="1" customHeight="1" x14ac:dyDescent="0.45"/>
    <row r="44" spans="2:4" s="65" customFormat="1" ht="18" hidden="1" customHeight="1" x14ac:dyDescent="0.45"/>
    <row r="45" spans="2:4" s="65" customFormat="1" ht="18" hidden="1" customHeight="1" x14ac:dyDescent="0.45"/>
    <row r="46" spans="2:4" s="65" customFormat="1" ht="18" customHeight="1" x14ac:dyDescent="0.45"/>
    <row r="47" spans="2:4" s="65" customFormat="1" ht="18" customHeight="1" x14ac:dyDescent="0.45"/>
    <row r="48" spans="2:4" s="65" customFormat="1" ht="18" customHeight="1" x14ac:dyDescent="0.45">
      <c r="B48" s="388" t="s">
        <v>148</v>
      </c>
      <c r="C48" s="389"/>
      <c r="D48" s="389"/>
    </row>
    <row r="49" spans="2:4" s="65" customFormat="1" ht="18" customHeight="1" x14ac:dyDescent="0.45">
      <c r="B49" s="66" t="s">
        <v>149</v>
      </c>
      <c r="C49" s="67" t="s">
        <v>150</v>
      </c>
      <c r="D49" s="68" t="s">
        <v>151</v>
      </c>
    </row>
    <row r="50" spans="2:4" s="65" customFormat="1" ht="18" customHeight="1" x14ac:dyDescent="0.45">
      <c r="B50" s="67" t="s">
        <v>177</v>
      </c>
      <c r="C50" s="81"/>
      <c r="D50" s="82"/>
    </row>
    <row r="51" spans="2:4" s="65" customFormat="1" ht="18" customHeight="1" x14ac:dyDescent="0.45">
      <c r="B51" s="74" t="e">
        <f>свая.тип</f>
        <v>#NAME?</v>
      </c>
      <c r="C51" s="69" t="s">
        <v>109</v>
      </c>
      <c r="D51" s="70"/>
    </row>
    <row r="52" spans="2:4" s="65" customFormat="1" ht="18" customHeight="1" x14ac:dyDescent="0.45">
      <c r="B52" s="75" t="str">
        <f>"Бетонная подготовка под росверки толщиной 100мм. Бетон "&amp;бет.подг.бетон&amp;""</f>
        <v>Бетонная подготовка под росверки толщиной 100мм. Бетон В7.5</v>
      </c>
      <c r="C52" s="71" t="s">
        <v>156</v>
      </c>
      <c r="D52" s="72"/>
    </row>
    <row r="53" spans="2:4" s="65" customFormat="1" ht="18" customHeight="1" x14ac:dyDescent="0.45">
      <c r="B53" s="75" t="str">
        <f>"Монолитный железобетон ростверков. Бетон "&amp;устой.ростверк.бетон&amp;""</f>
        <v>Монолитный железобетон ростверков. Бетон В25 F₁200 W6</v>
      </c>
      <c r="C53" s="71" t="s">
        <v>156</v>
      </c>
      <c r="D53" s="72"/>
    </row>
    <row r="54" spans="2:4" s="65" customFormat="1" ht="18" customHeight="1" x14ac:dyDescent="0.45">
      <c r="B54" s="75" t="str">
        <f>"Монолитный железобетон стоек. Бетон "&amp;устой.тело.бетон&amp;""</f>
        <v>Монолитный железобетон стоек. Бетон В30 F₁300 W8</v>
      </c>
      <c r="C54" s="71" t="s">
        <v>156</v>
      </c>
      <c r="D54" s="72"/>
    </row>
    <row r="55" spans="2:4" s="65" customFormat="1" ht="18" customHeight="1" x14ac:dyDescent="0.45">
      <c r="B55" s="75" t="str">
        <f>"Монолитный железобетон насадок. Бетон "&amp;устой.насадка.бетон&amp;""</f>
        <v>Монолитный железобетон насадок. Бетон В35 F₂300 W10</v>
      </c>
      <c r="C55" s="71" t="s">
        <v>156</v>
      </c>
      <c r="D55" s="72"/>
    </row>
    <row r="56" spans="2:4" s="65" customFormat="1" ht="18" customHeight="1" x14ac:dyDescent="0.45">
      <c r="B56" s="75" t="str">
        <f>"Монолитный железобетон шкафных стенок. Бетон "&amp;устой.шкаф.бетон&amp;""</f>
        <v>Монолитный железобетон шкафных стенок. Бетон В30 F₂300 W10</v>
      </c>
      <c r="C56" s="71" t="s">
        <v>156</v>
      </c>
      <c r="D56" s="72"/>
    </row>
    <row r="57" spans="2:4" s="65" customFormat="1" ht="18" customHeight="1" x14ac:dyDescent="0.45">
      <c r="B57" s="75" t="str">
        <f>"Монолитный железобетон шкафных стенок. Бетон "&amp;устой.подферм.бетон&amp;""</f>
        <v>Монолитный железобетон шкафных стенок. Бетон В35 F₂300 W10</v>
      </c>
      <c r="C57" s="71" t="s">
        <v>156</v>
      </c>
      <c r="D57" s="72"/>
    </row>
    <row r="58" spans="2:4" s="65" customFormat="1" ht="18" customHeight="1" x14ac:dyDescent="0.45">
      <c r="B58" s="76" t="s">
        <v>178</v>
      </c>
      <c r="C58" s="77" t="s">
        <v>159</v>
      </c>
      <c r="D58" s="73"/>
    </row>
    <row r="59" spans="2:4" s="65" customFormat="1" ht="18" customHeight="1" x14ac:dyDescent="0.45">
      <c r="B59" s="80" t="s">
        <v>179</v>
      </c>
      <c r="C59" s="82"/>
      <c r="D59" s="85"/>
    </row>
    <row r="60" spans="2:4" s="65" customFormat="1" ht="18" customHeight="1" x14ac:dyDescent="0.45">
      <c r="B60" s="74" t="str">
        <f>"Монолитный железобетон переходных плит. Бетон "&amp;перех.плиты.бетон&amp;""</f>
        <v>Монолитный железобетон переходных плит. Бетон В30 F₁300 W8</v>
      </c>
      <c r="C60" s="69" t="s">
        <v>156</v>
      </c>
      <c r="D60" s="70"/>
    </row>
    <row r="61" spans="2:4" s="65" customFormat="1" ht="18" customHeight="1" x14ac:dyDescent="0.45">
      <c r="B61" s="75" t="str">
        <f>"Монолитный железобетон переходных плит. Бетон "&amp;лежни.бетон&amp;""</f>
        <v>Монолитный железобетон переходных плит. Бетон В30 F₁300 W6</v>
      </c>
      <c r="C61" s="71" t="s">
        <v>156</v>
      </c>
      <c r="D61" s="72"/>
    </row>
    <row r="62" spans="2:4" s="65" customFormat="1" ht="18" customHeight="1" x14ac:dyDescent="0.45">
      <c r="B62" s="75" t="s">
        <v>180</v>
      </c>
      <c r="C62" s="71" t="s">
        <v>156</v>
      </c>
      <c r="D62" s="72"/>
    </row>
    <row r="63" spans="2:4" s="65" customFormat="1" ht="18" customHeight="1" x14ac:dyDescent="0.45">
      <c r="B63" s="75" t="s">
        <v>181</v>
      </c>
      <c r="C63" s="71" t="s">
        <v>156</v>
      </c>
      <c r="D63" s="72"/>
    </row>
    <row r="64" spans="2:4" s="65" customFormat="1" ht="18" customHeight="1" x14ac:dyDescent="0.45">
      <c r="B64" s="75" t="s">
        <v>182</v>
      </c>
      <c r="C64" s="71" t="s">
        <v>159</v>
      </c>
      <c r="D64" s="72"/>
    </row>
    <row r="65" spans="2:4" s="65" customFormat="1" ht="18" customHeight="1" x14ac:dyDescent="0.45">
      <c r="B65" s="75" t="s">
        <v>183</v>
      </c>
      <c r="C65" s="71" t="s">
        <v>159</v>
      </c>
      <c r="D65" s="72"/>
    </row>
    <row r="66" spans="2:4" s="65" customFormat="1" ht="18" customHeight="1" x14ac:dyDescent="0.45">
      <c r="B66" s="75" t="s">
        <v>184</v>
      </c>
      <c r="C66" s="71" t="s">
        <v>159</v>
      </c>
      <c r="D66" s="72"/>
    </row>
    <row r="67" spans="2:4" s="65" customFormat="1" ht="18" customHeight="1" x14ac:dyDescent="0.45">
      <c r="B67" s="75" t="s">
        <v>185</v>
      </c>
      <c r="C67" s="71" t="s">
        <v>159</v>
      </c>
      <c r="D67" s="72"/>
    </row>
    <row r="68" spans="2:4" s="65" customFormat="1" ht="18" customHeight="1" x14ac:dyDescent="0.45">
      <c r="B68" s="75" t="s">
        <v>186</v>
      </c>
      <c r="C68" s="71" t="s">
        <v>156</v>
      </c>
      <c r="D68" s="72"/>
    </row>
    <row r="69" spans="2:4" s="65" customFormat="1" ht="18" customHeight="1" x14ac:dyDescent="0.45">
      <c r="B69" s="76" t="s">
        <v>187</v>
      </c>
      <c r="C69" s="77" t="s">
        <v>154</v>
      </c>
      <c r="D69" s="73"/>
    </row>
    <row r="70" spans="2:4" s="65" customFormat="1" ht="18" customHeight="1" x14ac:dyDescent="0.45"/>
    <row r="71" spans="2:4" s="65" customFormat="1" ht="18" hidden="1" customHeight="1" x14ac:dyDescent="0.45"/>
    <row r="72" spans="2:4" s="65" customFormat="1" ht="18" hidden="1" customHeight="1" x14ac:dyDescent="0.45"/>
    <row r="73" spans="2:4" s="65" customFormat="1" ht="18" hidden="1" customHeight="1" x14ac:dyDescent="0.45"/>
    <row r="74" spans="2:4" s="65" customFormat="1" ht="19.25" hidden="1" customHeight="1" x14ac:dyDescent="0.45"/>
    <row r="75" spans="2:4" s="65" customFormat="1" ht="18" customHeight="1" x14ac:dyDescent="0.45"/>
    <row r="76" spans="2:4" ht="18" customHeight="1" x14ac:dyDescent="0.4"/>
    <row r="77" spans="2:4" ht="18" customHeight="1" x14ac:dyDescent="0.4"/>
    <row r="78" spans="2:4" ht="18" customHeight="1" x14ac:dyDescent="0.4"/>
    <row r="79" spans="2:4" ht="18" customHeight="1" x14ac:dyDescent="0.4">
      <c r="B79" s="388" t="s">
        <v>148</v>
      </c>
      <c r="C79" s="389"/>
      <c r="D79" s="389"/>
    </row>
    <row r="80" spans="2:4" ht="18" customHeight="1" x14ac:dyDescent="0.4">
      <c r="B80" s="66" t="s">
        <v>149</v>
      </c>
      <c r="C80" s="67" t="s">
        <v>150</v>
      </c>
      <c r="D80" s="68" t="s">
        <v>151</v>
      </c>
    </row>
    <row r="81" spans="2:4" ht="18" customHeight="1" x14ac:dyDescent="0.4">
      <c r="B81" s="67" t="s">
        <v>188</v>
      </c>
      <c r="C81" s="81"/>
      <c r="D81" s="67"/>
    </row>
    <row r="82" spans="2:4" ht="18" customHeight="1" x14ac:dyDescent="0.4">
      <c r="B82" s="74" t="e">
        <f>свая.тип</f>
        <v>#NAME?</v>
      </c>
      <c r="C82" s="69" t="s">
        <v>109</v>
      </c>
      <c r="D82" s="70"/>
    </row>
    <row r="83" spans="2:4" ht="18" customHeight="1" x14ac:dyDescent="0.4">
      <c r="B83" s="75" t="str">
        <f>"Бетонная подготовка под росверки толщиной 100мм. Бетон "&amp;бет.подг.бетон&amp;""</f>
        <v>Бетонная подготовка под росверки толщиной 100мм. Бетон В7.5</v>
      </c>
      <c r="C83" s="71" t="s">
        <v>156</v>
      </c>
      <c r="D83" s="72"/>
    </row>
    <row r="84" spans="2:4" ht="18" customHeight="1" x14ac:dyDescent="0.4">
      <c r="B84" s="75" t="str">
        <f>"Монолитный железобетон ростверков. Бетон "&amp;устой.ростверк.бетон&amp;""</f>
        <v>Монолитный железобетон ростверков. Бетон В25 F₁200 W6</v>
      </c>
      <c r="C84" s="71" t="s">
        <v>156</v>
      </c>
      <c r="D84" s="72"/>
    </row>
    <row r="85" spans="2:4" ht="18" customHeight="1" x14ac:dyDescent="0.4">
      <c r="B85" s="75" t="str">
        <f>"Монолитный железобетон стоек. Бетон "&amp;устой.тело.бетон&amp;""</f>
        <v>Монолитный железобетон стоек. Бетон В30 F₁300 W8</v>
      </c>
      <c r="C85" s="71" t="s">
        <v>156</v>
      </c>
      <c r="D85" s="72"/>
    </row>
    <row r="86" spans="2:4" ht="18" customHeight="1" x14ac:dyDescent="0.4">
      <c r="B86" s="75" t="str">
        <f>"Монолитный железобетон насадок. Бетон "&amp;устой.насадка.бетон&amp;""</f>
        <v>Монолитный железобетон насадок. Бетон В35 F₂300 W10</v>
      </c>
      <c r="C86" s="71" t="s">
        <v>156</v>
      </c>
      <c r="D86" s="72"/>
    </row>
    <row r="87" spans="2:4" ht="18" customHeight="1" x14ac:dyDescent="0.4">
      <c r="B87" s="75" t="str">
        <f>"Монолитный железобетон шкафных стенок. Бетон "&amp;устой.шкаф.бетон&amp;""</f>
        <v>Монолитный железобетон шкафных стенок. Бетон В30 F₂300 W10</v>
      </c>
      <c r="C87" s="71" t="s">
        <v>156</v>
      </c>
      <c r="D87" s="72"/>
    </row>
    <row r="88" spans="2:4" ht="18" customHeight="1" x14ac:dyDescent="0.4">
      <c r="B88" s="75" t="str">
        <f>"Монолитный железобетон шкафных стенок. Бетон "&amp;устой.подферм.бетон&amp;""</f>
        <v>Монолитный железобетон шкафных стенок. Бетон В35 F₂300 W10</v>
      </c>
      <c r="C88" s="71" t="s">
        <v>156</v>
      </c>
      <c r="D88" s="72"/>
    </row>
    <row r="89" spans="2:4" ht="18" customHeight="1" x14ac:dyDescent="0.4">
      <c r="B89" s="76" t="s">
        <v>178</v>
      </c>
      <c r="C89" s="77" t="s">
        <v>159</v>
      </c>
      <c r="D89" s="73"/>
    </row>
    <row r="90" spans="2:4" ht="18" customHeight="1" x14ac:dyDescent="0.4">
      <c r="B90" s="80" t="s">
        <v>179</v>
      </c>
      <c r="C90" s="82"/>
      <c r="D90" s="82"/>
    </row>
    <row r="91" spans="2:4" ht="18" customHeight="1" x14ac:dyDescent="0.4">
      <c r="B91" s="74" t="str">
        <f>"Монолитный железобетон переходных плит. Бетон "&amp;перех.плиты.бетон&amp;""</f>
        <v>Монолитный железобетон переходных плит. Бетон В30 F₁300 W8</v>
      </c>
      <c r="C91" s="69" t="s">
        <v>156</v>
      </c>
      <c r="D91" s="70"/>
    </row>
    <row r="92" spans="2:4" ht="18" customHeight="1" x14ac:dyDescent="0.4">
      <c r="B92" s="75" t="str">
        <f>"Монолитный железобетон переходных плит. Бетон "&amp;лежни.бетон&amp;""</f>
        <v>Монолитный железобетон переходных плит. Бетон В30 F₁300 W6</v>
      </c>
      <c r="C92" s="71" t="s">
        <v>156</v>
      </c>
      <c r="D92" s="72"/>
    </row>
    <row r="93" spans="2:4" ht="18" customHeight="1" x14ac:dyDescent="0.4">
      <c r="B93" s="75" t="s">
        <v>180</v>
      </c>
      <c r="C93" s="71" t="s">
        <v>156</v>
      </c>
      <c r="D93" s="72"/>
    </row>
    <row r="94" spans="2:4" ht="18" customHeight="1" x14ac:dyDescent="0.4">
      <c r="B94" s="75" t="s">
        <v>181</v>
      </c>
      <c r="C94" s="71" t="s">
        <v>156</v>
      </c>
      <c r="D94" s="72"/>
    </row>
    <row r="95" spans="2:4" ht="18" customHeight="1" x14ac:dyDescent="0.4">
      <c r="B95" s="75" t="s">
        <v>182</v>
      </c>
      <c r="C95" s="71" t="s">
        <v>159</v>
      </c>
      <c r="D95" s="72"/>
    </row>
    <row r="96" spans="2:4" ht="18" customHeight="1" x14ac:dyDescent="0.4">
      <c r="B96" s="75" t="s">
        <v>183</v>
      </c>
      <c r="C96" s="71" t="s">
        <v>159</v>
      </c>
      <c r="D96" s="72"/>
    </row>
    <row r="97" spans="2:4" ht="18" customHeight="1" x14ac:dyDescent="0.4">
      <c r="B97" s="75" t="s">
        <v>184</v>
      </c>
      <c r="C97" s="71" t="s">
        <v>159</v>
      </c>
      <c r="D97" s="72"/>
    </row>
    <row r="98" spans="2:4" ht="18" customHeight="1" x14ac:dyDescent="0.4">
      <c r="B98" s="75" t="s">
        <v>185</v>
      </c>
      <c r="C98" s="71" t="s">
        <v>159</v>
      </c>
      <c r="D98" s="72"/>
    </row>
    <row r="99" spans="2:4" ht="18" customHeight="1" x14ac:dyDescent="0.4">
      <c r="B99" s="75" t="s">
        <v>186</v>
      </c>
      <c r="C99" s="71" t="s">
        <v>156</v>
      </c>
      <c r="D99" s="72"/>
    </row>
    <row r="100" spans="2:4" ht="18" customHeight="1" x14ac:dyDescent="0.4">
      <c r="B100" s="76" t="s">
        <v>187</v>
      </c>
      <c r="C100" s="77" t="s">
        <v>154</v>
      </c>
      <c r="D100" s="73"/>
    </row>
    <row r="101" spans="2:4" ht="18" customHeight="1" x14ac:dyDescent="0.4"/>
    <row r="102" spans="2:4" ht="18" customHeight="1" x14ac:dyDescent="0.4"/>
    <row r="103" spans="2:4" ht="18" customHeight="1" x14ac:dyDescent="0.4"/>
    <row r="104" spans="2:4" ht="18" customHeight="1" x14ac:dyDescent="0.4"/>
    <row r="105" spans="2:4" ht="18" customHeight="1" x14ac:dyDescent="0.4"/>
    <row r="106" spans="2:4" ht="18" customHeight="1" x14ac:dyDescent="0.4"/>
    <row r="107" spans="2:4" ht="18" customHeight="1" x14ac:dyDescent="0.4"/>
    <row r="108" spans="2:4" ht="18" customHeight="1" x14ac:dyDescent="0.4"/>
    <row r="109" spans="2:4" ht="18" customHeight="1" x14ac:dyDescent="0.4"/>
    <row r="110" spans="2:4" ht="18" customHeight="1" x14ac:dyDescent="0.4"/>
    <row r="111" spans="2:4" ht="18" customHeight="1" x14ac:dyDescent="0.4"/>
    <row r="112" spans="2:4" ht="18" customHeight="1" x14ac:dyDescent="0.4"/>
    <row r="113" ht="18" customHeight="1" x14ac:dyDescent="0.4"/>
    <row r="114" ht="18" customHeight="1" x14ac:dyDescent="0.4"/>
    <row r="115" ht="18" customHeight="1" x14ac:dyDescent="0.4"/>
    <row r="116" ht="18" customHeight="1" x14ac:dyDescent="0.4"/>
    <row r="117" ht="18" customHeight="1" x14ac:dyDescent="0.4"/>
    <row r="118" ht="18" customHeight="1" x14ac:dyDescent="0.4"/>
    <row r="119" ht="18" customHeight="1" x14ac:dyDescent="0.4"/>
    <row r="120" ht="18" customHeight="1" x14ac:dyDescent="0.4"/>
    <row r="121" ht="18" customHeight="1" x14ac:dyDescent="0.4"/>
    <row r="122" ht="18" customHeight="1" x14ac:dyDescent="0.4"/>
    <row r="123" ht="18" customHeight="1" x14ac:dyDescent="0.4"/>
    <row r="124" ht="18" customHeight="1" x14ac:dyDescent="0.4"/>
    <row r="125" ht="18" customHeight="1" x14ac:dyDescent="0.4"/>
    <row r="126" ht="18" customHeight="1" x14ac:dyDescent="0.4"/>
    <row r="127" ht="18" customHeight="1" x14ac:dyDescent="0.4"/>
    <row r="128" ht="18" customHeight="1" x14ac:dyDescent="0.4"/>
    <row r="129" ht="18" customHeight="1" x14ac:dyDescent="0.4"/>
    <row r="130" ht="18" customHeight="1" x14ac:dyDescent="0.4"/>
    <row r="131" ht="18" customHeight="1" x14ac:dyDescent="0.4"/>
    <row r="132" ht="18" customHeight="1" x14ac:dyDescent="0.4"/>
    <row r="133" ht="18" customHeight="1" x14ac:dyDescent="0.4"/>
    <row r="134" ht="18" customHeight="1" x14ac:dyDescent="0.4"/>
    <row r="135" ht="18" customHeight="1" x14ac:dyDescent="0.4"/>
    <row r="136" ht="18" customHeight="1" x14ac:dyDescent="0.4"/>
    <row r="137" ht="18" customHeight="1" x14ac:dyDescent="0.4"/>
    <row r="138" ht="18" customHeight="1" x14ac:dyDescent="0.4"/>
    <row r="139" ht="18" customHeight="1" x14ac:dyDescent="0.4"/>
    <row r="140" ht="18" customHeight="1" x14ac:dyDescent="0.4"/>
    <row r="141" ht="18" customHeight="1" x14ac:dyDescent="0.4"/>
    <row r="142" ht="18" customHeight="1" x14ac:dyDescent="0.4"/>
    <row r="143" ht="18" customHeight="1" x14ac:dyDescent="0.4"/>
    <row r="144" ht="18" customHeight="1" x14ac:dyDescent="0.4"/>
    <row r="145" ht="18" customHeight="1" x14ac:dyDescent="0.4"/>
    <row r="146" ht="18" customHeight="1" x14ac:dyDescent="0.4"/>
    <row r="147" ht="18" customHeight="1" x14ac:dyDescent="0.4"/>
    <row r="148" ht="18" customHeight="1" x14ac:dyDescent="0.4"/>
    <row r="149" ht="18" customHeight="1" x14ac:dyDescent="0.4"/>
    <row r="150" ht="18" customHeight="1" x14ac:dyDescent="0.4"/>
    <row r="151" ht="18" customHeight="1" x14ac:dyDescent="0.4"/>
    <row r="152" ht="18" customHeight="1" x14ac:dyDescent="0.4"/>
    <row r="153" ht="18" customHeight="1" x14ac:dyDescent="0.4"/>
    <row r="154" ht="18" customHeight="1" x14ac:dyDescent="0.4"/>
    <row r="155" ht="18" customHeight="1" x14ac:dyDescent="0.4"/>
    <row r="156" ht="18" customHeight="1" x14ac:dyDescent="0.4"/>
    <row r="157" ht="18" customHeight="1" x14ac:dyDescent="0.4"/>
    <row r="158" ht="18" customHeight="1" x14ac:dyDescent="0.4"/>
    <row r="159" ht="18" customHeight="1" x14ac:dyDescent="0.4"/>
    <row r="160" ht="18" customHeight="1" x14ac:dyDescent="0.4"/>
    <row r="161" ht="18" customHeight="1" x14ac:dyDescent="0.4"/>
  </sheetData>
  <mergeCells count="6">
    <mergeCell ref="B79:D79"/>
    <mergeCell ref="B48:D48"/>
    <mergeCell ref="B4:D4"/>
    <mergeCell ref="B7:B8"/>
    <mergeCell ref="B14:B15"/>
    <mergeCell ref="B12:B13"/>
  </mergeCells>
  <pageMargins left="0.7" right="0.7" top="0.75" bottom="0.75" header="0.3" footer="0.3"/>
  <ignoredErrors>
    <ignoredError sqref="B51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D77"/>
  <sheetViews>
    <sheetView workbookViewId="0">
      <selection activeCell="B2" sqref="B2:B8"/>
    </sheetView>
  </sheetViews>
  <sheetFormatPr defaultRowHeight="14.25" x14ac:dyDescent="0.45"/>
  <cols>
    <col min="1" max="1" width="13.46484375" customWidth="1"/>
    <col min="2" max="2" width="47.86328125" customWidth="1"/>
    <col min="3" max="4" width="13.1328125" bestFit="1" customWidth="1"/>
  </cols>
  <sheetData>
    <row r="1" spans="1:4" ht="28.9" thickBot="1" x14ac:dyDescent="0.5">
      <c r="A1" s="179" t="s">
        <v>299</v>
      </c>
      <c r="B1" s="175" t="s">
        <v>252</v>
      </c>
      <c r="C1" s="175" t="s">
        <v>253</v>
      </c>
      <c r="D1" s="176" t="s">
        <v>254</v>
      </c>
    </row>
    <row r="2" spans="1:4" x14ac:dyDescent="0.45">
      <c r="A2" s="394" t="s">
        <v>255</v>
      </c>
      <c r="B2" s="177" t="s">
        <v>386</v>
      </c>
      <c r="C2" s="5">
        <v>1</v>
      </c>
      <c r="D2" s="6">
        <v>1</v>
      </c>
    </row>
    <row r="3" spans="1:4" x14ac:dyDescent="0.45">
      <c r="A3" s="395"/>
      <c r="B3" s="172" t="s">
        <v>387</v>
      </c>
      <c r="C3" s="1">
        <v>2</v>
      </c>
      <c r="D3" s="8">
        <v>1</v>
      </c>
    </row>
    <row r="4" spans="1:4" x14ac:dyDescent="0.45">
      <c r="A4" s="395"/>
      <c r="B4" s="172" t="s">
        <v>286</v>
      </c>
      <c r="C4" s="1">
        <v>2</v>
      </c>
      <c r="D4" s="8">
        <v>1</v>
      </c>
    </row>
    <row r="5" spans="1:4" x14ac:dyDescent="0.45">
      <c r="A5" s="395"/>
      <c r="B5" s="172" t="s">
        <v>287</v>
      </c>
      <c r="C5" s="1">
        <v>2</v>
      </c>
      <c r="D5" s="8">
        <v>2</v>
      </c>
    </row>
    <row r="6" spans="1:4" x14ac:dyDescent="0.45">
      <c r="A6" s="395"/>
      <c r="B6" s="172" t="s">
        <v>288</v>
      </c>
      <c r="C6" s="1">
        <v>2</v>
      </c>
      <c r="D6" s="8">
        <v>3</v>
      </c>
    </row>
    <row r="7" spans="1:4" x14ac:dyDescent="0.45">
      <c r="A7" s="395"/>
      <c r="B7" s="172" t="s">
        <v>290</v>
      </c>
      <c r="C7" s="1">
        <v>2</v>
      </c>
      <c r="D7" s="8">
        <v>4</v>
      </c>
    </row>
    <row r="8" spans="1:4" ht="14.65" thickBot="1" x14ac:dyDescent="0.5">
      <c r="A8" s="396"/>
      <c r="B8" s="178" t="s">
        <v>289</v>
      </c>
      <c r="C8" s="12">
        <v>2</v>
      </c>
      <c r="D8" s="13">
        <v>5</v>
      </c>
    </row>
    <row r="9" spans="1:4" x14ac:dyDescent="0.45">
      <c r="A9" s="394" t="s">
        <v>256</v>
      </c>
      <c r="B9" s="177" t="s">
        <v>209</v>
      </c>
      <c r="C9" s="5">
        <v>1</v>
      </c>
      <c r="D9" s="6">
        <v>1</v>
      </c>
    </row>
    <row r="10" spans="1:4" x14ac:dyDescent="0.45">
      <c r="A10" s="395"/>
      <c r="B10" s="172" t="s">
        <v>276</v>
      </c>
      <c r="C10" s="1">
        <v>1</v>
      </c>
      <c r="D10" s="8">
        <v>2</v>
      </c>
    </row>
    <row r="11" spans="1:4" x14ac:dyDescent="0.45">
      <c r="A11" s="395"/>
      <c r="B11" s="172" t="s">
        <v>275</v>
      </c>
      <c r="C11" s="1">
        <v>2</v>
      </c>
      <c r="D11" s="8">
        <v>2</v>
      </c>
    </row>
    <row r="12" spans="1:4" x14ac:dyDescent="0.45">
      <c r="A12" s="395"/>
      <c r="B12" s="172" t="s">
        <v>274</v>
      </c>
      <c r="C12" s="1">
        <v>2</v>
      </c>
      <c r="D12" s="8">
        <v>3</v>
      </c>
    </row>
    <row r="13" spans="1:4" x14ac:dyDescent="0.45">
      <c r="A13" s="395"/>
      <c r="B13" s="172" t="s">
        <v>257</v>
      </c>
      <c r="C13" s="1">
        <v>2</v>
      </c>
      <c r="D13" s="8">
        <v>3</v>
      </c>
    </row>
    <row r="14" spans="1:4" ht="14.65" thickBot="1" x14ac:dyDescent="0.5">
      <c r="A14" s="396"/>
      <c r="B14" s="178" t="s">
        <v>258</v>
      </c>
      <c r="C14" s="12">
        <v>2</v>
      </c>
      <c r="D14" s="13">
        <v>4</v>
      </c>
    </row>
    <row r="15" spans="1:4" x14ac:dyDescent="0.45">
      <c r="A15" s="394" t="s">
        <v>259</v>
      </c>
      <c r="B15" s="177" t="s">
        <v>208</v>
      </c>
      <c r="C15" s="5">
        <v>1</v>
      </c>
      <c r="D15" s="6">
        <v>1</v>
      </c>
    </row>
    <row r="16" spans="1:4" ht="14.25" customHeight="1" x14ac:dyDescent="0.45">
      <c r="A16" s="395"/>
      <c r="B16" s="172" t="s">
        <v>278</v>
      </c>
      <c r="C16" s="1">
        <v>1</v>
      </c>
      <c r="D16" s="8">
        <v>2</v>
      </c>
    </row>
    <row r="17" spans="1:4" ht="14.25" customHeight="1" x14ac:dyDescent="0.45">
      <c r="A17" s="395"/>
      <c r="B17" s="172" t="s">
        <v>277</v>
      </c>
      <c r="C17" s="1">
        <v>2</v>
      </c>
      <c r="D17" s="8">
        <v>2</v>
      </c>
    </row>
    <row r="18" spans="1:4" x14ac:dyDescent="0.45">
      <c r="A18" s="395"/>
      <c r="B18" s="172" t="s">
        <v>260</v>
      </c>
      <c r="C18" s="1">
        <v>2</v>
      </c>
      <c r="D18" s="8">
        <v>3</v>
      </c>
    </row>
    <row r="19" spans="1:4" x14ac:dyDescent="0.45">
      <c r="A19" s="395"/>
      <c r="B19" s="172" t="s">
        <v>261</v>
      </c>
      <c r="C19" s="1">
        <v>2</v>
      </c>
      <c r="D19" s="8">
        <v>3</v>
      </c>
    </row>
    <row r="20" spans="1:4" x14ac:dyDescent="0.45">
      <c r="A20" s="395"/>
      <c r="B20" s="172" t="s">
        <v>262</v>
      </c>
      <c r="C20" s="1">
        <v>2</v>
      </c>
      <c r="D20" s="8">
        <v>4</v>
      </c>
    </row>
    <row r="21" spans="1:4" x14ac:dyDescent="0.45">
      <c r="A21" s="395"/>
      <c r="B21" s="172" t="s">
        <v>263</v>
      </c>
      <c r="C21" s="1">
        <v>2</v>
      </c>
      <c r="D21" s="8">
        <v>4</v>
      </c>
    </row>
    <row r="22" spans="1:4" ht="14.65" thickBot="1" x14ac:dyDescent="0.5">
      <c r="A22" s="396"/>
      <c r="B22" s="178" t="s">
        <v>264</v>
      </c>
      <c r="C22" s="12">
        <v>2</v>
      </c>
      <c r="D22" s="13">
        <v>5</v>
      </c>
    </row>
    <row r="23" spans="1:4" x14ac:dyDescent="0.45">
      <c r="A23" s="394" t="s">
        <v>265</v>
      </c>
      <c r="B23" s="177" t="s">
        <v>266</v>
      </c>
      <c r="C23" s="5">
        <v>1</v>
      </c>
      <c r="D23" s="6">
        <v>2</v>
      </c>
    </row>
    <row r="24" spans="1:4" x14ac:dyDescent="0.45">
      <c r="A24" s="395"/>
      <c r="B24" s="172" t="s">
        <v>210</v>
      </c>
      <c r="C24" s="1">
        <v>1</v>
      </c>
      <c r="D24" s="8">
        <v>3</v>
      </c>
    </row>
    <row r="25" spans="1:4" x14ac:dyDescent="0.45">
      <c r="A25" s="395"/>
      <c r="B25" s="172" t="s">
        <v>214</v>
      </c>
      <c r="C25" s="1">
        <v>2</v>
      </c>
      <c r="D25" s="8">
        <v>3</v>
      </c>
    </row>
    <row r="26" spans="1:4" ht="15" customHeight="1" x14ac:dyDescent="0.45">
      <c r="A26" s="395"/>
      <c r="B26" s="172" t="s">
        <v>272</v>
      </c>
      <c r="C26" s="1">
        <v>1</v>
      </c>
      <c r="D26" s="8">
        <v>4</v>
      </c>
    </row>
    <row r="27" spans="1:4" ht="15" customHeight="1" x14ac:dyDescent="0.45">
      <c r="A27" s="395"/>
      <c r="B27" s="172" t="s">
        <v>273</v>
      </c>
      <c r="C27" s="1">
        <v>2</v>
      </c>
      <c r="D27" s="8">
        <v>4</v>
      </c>
    </row>
    <row r="28" spans="1:4" x14ac:dyDescent="0.45">
      <c r="A28" s="395"/>
      <c r="B28" s="172" t="s">
        <v>271</v>
      </c>
      <c r="C28" s="1">
        <v>1</v>
      </c>
      <c r="D28" s="8">
        <v>4</v>
      </c>
    </row>
    <row r="29" spans="1:4" x14ac:dyDescent="0.45">
      <c r="A29" s="395"/>
      <c r="B29" s="172" t="s">
        <v>267</v>
      </c>
      <c r="C29" s="1">
        <v>2</v>
      </c>
      <c r="D29" s="8">
        <v>4</v>
      </c>
    </row>
    <row r="30" spans="1:4" x14ac:dyDescent="0.45">
      <c r="A30" s="395"/>
      <c r="B30" s="172" t="s">
        <v>268</v>
      </c>
      <c r="C30" s="1">
        <v>2</v>
      </c>
      <c r="D30" s="8">
        <v>5</v>
      </c>
    </row>
    <row r="31" spans="1:4" ht="15" customHeight="1" thickBot="1" x14ac:dyDescent="0.5">
      <c r="A31" s="396"/>
      <c r="B31" s="178" t="s">
        <v>269</v>
      </c>
      <c r="C31" s="12">
        <v>2</v>
      </c>
      <c r="D31" s="13">
        <v>6</v>
      </c>
    </row>
    <row r="32" spans="1:4" x14ac:dyDescent="0.45">
      <c r="A32" s="394" t="s">
        <v>270</v>
      </c>
      <c r="B32" s="177" t="s">
        <v>291</v>
      </c>
      <c r="C32" s="5"/>
      <c r="D32" s="6">
        <v>4</v>
      </c>
    </row>
    <row r="33" spans="1:4" ht="14.65" thickBot="1" x14ac:dyDescent="0.5">
      <c r="A33" s="396"/>
      <c r="B33" s="178" t="s">
        <v>292</v>
      </c>
      <c r="C33" s="12"/>
      <c r="D33" s="13">
        <v>7</v>
      </c>
    </row>
    <row r="34" spans="1:4" x14ac:dyDescent="0.45">
      <c r="A34" s="394" t="s">
        <v>279</v>
      </c>
      <c r="B34" s="177" t="s">
        <v>280</v>
      </c>
      <c r="C34" s="5"/>
      <c r="D34" s="6">
        <v>5</v>
      </c>
    </row>
    <row r="35" spans="1:4" ht="14.65" thickBot="1" x14ac:dyDescent="0.5">
      <c r="A35" s="396"/>
      <c r="B35" s="178" t="s">
        <v>281</v>
      </c>
      <c r="C35" s="12"/>
      <c r="D35" s="13">
        <v>6</v>
      </c>
    </row>
    <row r="36" spans="1:4" ht="14.65" thickBot="1" x14ac:dyDescent="0.5">
      <c r="A36" s="179" t="s">
        <v>282</v>
      </c>
      <c r="B36" s="180" t="s">
        <v>283</v>
      </c>
      <c r="C36" s="181"/>
      <c r="D36" s="182">
        <v>4</v>
      </c>
    </row>
    <row r="37" spans="1:4" x14ac:dyDescent="0.45">
      <c r="A37" s="394" t="s">
        <v>284</v>
      </c>
      <c r="B37" s="177" t="s">
        <v>333</v>
      </c>
      <c r="C37" s="5"/>
      <c r="D37" s="6">
        <v>4</v>
      </c>
    </row>
    <row r="38" spans="1:4" x14ac:dyDescent="0.45">
      <c r="A38" s="395"/>
      <c r="B38" s="172" t="s">
        <v>334</v>
      </c>
      <c r="C38" s="1"/>
      <c r="D38" s="8">
        <v>5</v>
      </c>
    </row>
    <row r="39" spans="1:4" x14ac:dyDescent="0.45">
      <c r="A39" s="395"/>
      <c r="B39" s="172" t="s">
        <v>335</v>
      </c>
      <c r="C39" s="1"/>
      <c r="D39" s="8">
        <v>6</v>
      </c>
    </row>
    <row r="40" spans="1:4" ht="14.65" thickBot="1" x14ac:dyDescent="0.5">
      <c r="A40" s="396"/>
      <c r="B40" s="178" t="s">
        <v>336</v>
      </c>
      <c r="C40" s="12"/>
      <c r="D40" s="13">
        <v>7</v>
      </c>
    </row>
    <row r="41" spans="1:4" ht="14.65" thickBot="1" x14ac:dyDescent="0.5">
      <c r="A41" s="179" t="s">
        <v>211</v>
      </c>
      <c r="B41" s="180" t="s">
        <v>211</v>
      </c>
      <c r="C41" s="181">
        <v>1</v>
      </c>
      <c r="D41" s="182">
        <v>1</v>
      </c>
    </row>
    <row r="42" spans="1:4" x14ac:dyDescent="0.45">
      <c r="A42" s="394" t="s">
        <v>285</v>
      </c>
      <c r="B42" s="177" t="s">
        <v>293</v>
      </c>
      <c r="C42" s="5"/>
      <c r="D42" s="6">
        <v>3</v>
      </c>
    </row>
    <row r="43" spans="1:4" x14ac:dyDescent="0.45">
      <c r="A43" s="395"/>
      <c r="B43" s="172" t="s">
        <v>294</v>
      </c>
      <c r="C43" s="1"/>
      <c r="D43" s="8">
        <v>4</v>
      </c>
    </row>
    <row r="44" spans="1:4" ht="14.65" thickBot="1" x14ac:dyDescent="0.5">
      <c r="A44" s="396"/>
      <c r="B44" s="178" t="s">
        <v>295</v>
      </c>
      <c r="C44" s="12"/>
      <c r="D44" s="13">
        <v>5</v>
      </c>
    </row>
    <row r="45" spans="1:4" x14ac:dyDescent="0.45">
      <c r="A45" s="394" t="s">
        <v>212</v>
      </c>
      <c r="B45" s="177" t="s">
        <v>296</v>
      </c>
      <c r="C45" s="5">
        <v>1</v>
      </c>
      <c r="D45" s="6">
        <v>1</v>
      </c>
    </row>
    <row r="46" spans="1:4" x14ac:dyDescent="0.45">
      <c r="A46" s="395"/>
      <c r="B46" s="172" t="s">
        <v>297</v>
      </c>
      <c r="C46" s="1">
        <v>1</v>
      </c>
      <c r="D46" s="8">
        <v>2</v>
      </c>
    </row>
    <row r="47" spans="1:4" ht="14.65" thickBot="1" x14ac:dyDescent="0.5">
      <c r="A47" s="396"/>
      <c r="B47" s="178" t="s">
        <v>298</v>
      </c>
      <c r="C47" s="12">
        <v>2</v>
      </c>
      <c r="D47" s="13">
        <v>3</v>
      </c>
    </row>
    <row r="48" spans="1:4" x14ac:dyDescent="0.45">
      <c r="A48" s="173"/>
      <c r="B48" s="172"/>
      <c r="C48" s="1"/>
      <c r="D48" s="1"/>
    </row>
    <row r="49" spans="1:4" x14ac:dyDescent="0.45">
      <c r="A49" s="173"/>
      <c r="B49" s="172"/>
      <c r="C49" s="1"/>
      <c r="D49" s="1"/>
    </row>
    <row r="50" spans="1:4" x14ac:dyDescent="0.45">
      <c r="A50" s="173"/>
      <c r="B50" s="172"/>
      <c r="C50" s="1"/>
      <c r="D50" s="1"/>
    </row>
    <row r="51" spans="1:4" x14ac:dyDescent="0.45">
      <c r="A51" s="173"/>
      <c r="B51" s="172"/>
      <c r="C51" s="1"/>
      <c r="D51" s="1"/>
    </row>
    <row r="52" spans="1:4" x14ac:dyDescent="0.45">
      <c r="A52" s="173"/>
      <c r="B52" s="172"/>
      <c r="C52" s="1"/>
      <c r="D52" s="1"/>
    </row>
    <row r="53" spans="1:4" x14ac:dyDescent="0.45">
      <c r="A53" s="173"/>
      <c r="B53" s="172"/>
      <c r="C53" s="1"/>
      <c r="D53" s="1"/>
    </row>
    <row r="54" spans="1:4" x14ac:dyDescent="0.45">
      <c r="A54" s="173"/>
      <c r="B54" s="172"/>
      <c r="C54" s="1"/>
      <c r="D54" s="1"/>
    </row>
    <row r="55" spans="1:4" x14ac:dyDescent="0.45">
      <c r="A55" s="173"/>
      <c r="B55" s="172"/>
      <c r="C55" s="1"/>
      <c r="D55" s="1"/>
    </row>
    <row r="56" spans="1:4" x14ac:dyDescent="0.45">
      <c r="A56" s="173"/>
      <c r="B56" s="172"/>
      <c r="C56" s="1"/>
      <c r="D56" s="1"/>
    </row>
    <row r="57" spans="1:4" x14ac:dyDescent="0.45">
      <c r="A57" s="173"/>
      <c r="B57" s="172"/>
      <c r="C57" s="1"/>
      <c r="D57" s="1"/>
    </row>
    <row r="58" spans="1:4" x14ac:dyDescent="0.45">
      <c r="A58" s="173"/>
      <c r="B58" s="172"/>
      <c r="C58" s="1"/>
      <c r="D58" s="1"/>
    </row>
    <row r="59" spans="1:4" x14ac:dyDescent="0.45">
      <c r="A59" s="173"/>
      <c r="B59" s="172"/>
      <c r="C59" s="1"/>
      <c r="D59" s="1"/>
    </row>
    <row r="60" spans="1:4" x14ac:dyDescent="0.45">
      <c r="A60" s="173"/>
      <c r="B60" s="172"/>
      <c r="C60" s="1"/>
      <c r="D60" s="1"/>
    </row>
    <row r="61" spans="1:4" x14ac:dyDescent="0.45">
      <c r="A61" s="174"/>
      <c r="B61" s="172"/>
      <c r="C61" s="1"/>
      <c r="D61" s="1"/>
    </row>
    <row r="62" spans="1:4" x14ac:dyDescent="0.45">
      <c r="A62" s="102"/>
      <c r="B62" s="172"/>
      <c r="C62" s="1"/>
      <c r="D62" s="1"/>
    </row>
    <row r="63" spans="1:4" x14ac:dyDescent="0.45">
      <c r="A63" s="102"/>
      <c r="B63" s="172"/>
      <c r="C63" s="1"/>
      <c r="D63" s="1"/>
    </row>
    <row r="64" spans="1:4" x14ac:dyDescent="0.45">
      <c r="A64" s="102"/>
      <c r="B64" s="172"/>
      <c r="D64" s="103"/>
    </row>
    <row r="65" spans="1:4" x14ac:dyDescent="0.45">
      <c r="A65" s="102"/>
      <c r="B65" s="172"/>
      <c r="D65" s="103"/>
    </row>
    <row r="66" spans="1:4" x14ac:dyDescent="0.45">
      <c r="A66" s="102"/>
      <c r="B66" s="172"/>
      <c r="D66" s="103"/>
    </row>
    <row r="67" spans="1:4" x14ac:dyDescent="0.45">
      <c r="A67" s="102"/>
      <c r="B67" s="172"/>
      <c r="D67" s="103"/>
    </row>
    <row r="68" spans="1:4" x14ac:dyDescent="0.45">
      <c r="A68" s="102"/>
      <c r="B68" s="172"/>
      <c r="D68" s="103"/>
    </row>
    <row r="69" spans="1:4" x14ac:dyDescent="0.45">
      <c r="A69" s="102"/>
      <c r="B69" s="172"/>
      <c r="D69" s="103"/>
    </row>
    <row r="70" spans="1:4" x14ac:dyDescent="0.45">
      <c r="A70" s="102"/>
      <c r="B70" s="172"/>
      <c r="D70" s="103"/>
    </row>
    <row r="71" spans="1:4" x14ac:dyDescent="0.45">
      <c r="A71" s="102"/>
      <c r="B71" s="172"/>
      <c r="D71" s="103"/>
    </row>
    <row r="72" spans="1:4" x14ac:dyDescent="0.45">
      <c r="A72" s="102"/>
      <c r="B72" s="172"/>
      <c r="D72" s="103"/>
    </row>
    <row r="73" spans="1:4" x14ac:dyDescent="0.45">
      <c r="A73" s="102"/>
      <c r="B73" s="172"/>
      <c r="D73" s="103"/>
    </row>
    <row r="74" spans="1:4" x14ac:dyDescent="0.45">
      <c r="A74" s="102"/>
      <c r="B74" s="172"/>
      <c r="D74" s="103"/>
    </row>
    <row r="75" spans="1:4" x14ac:dyDescent="0.45">
      <c r="A75" s="102"/>
      <c r="B75" s="172"/>
      <c r="D75" s="103"/>
    </row>
    <row r="76" spans="1:4" x14ac:dyDescent="0.45">
      <c r="A76" s="102"/>
      <c r="B76" s="172"/>
      <c r="D76" s="103"/>
    </row>
    <row r="77" spans="1:4" x14ac:dyDescent="0.45">
      <c r="A77" s="102"/>
      <c r="B77" s="172"/>
      <c r="D77" s="103"/>
    </row>
  </sheetData>
  <mergeCells count="9">
    <mergeCell ref="A37:A40"/>
    <mergeCell ref="A42:A44"/>
    <mergeCell ref="A45:A47"/>
    <mergeCell ref="A2:A8"/>
    <mergeCell ref="A9:A14"/>
    <mergeCell ref="A15:A22"/>
    <mergeCell ref="A23:A31"/>
    <mergeCell ref="A32:A33"/>
    <mergeCell ref="A34:A3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AJ65"/>
  <sheetViews>
    <sheetView topLeftCell="AC1" zoomScale="85" zoomScaleNormal="85" workbookViewId="0">
      <selection activeCell="AF145" sqref="AF145"/>
    </sheetView>
  </sheetViews>
  <sheetFormatPr defaultRowHeight="14.25" x14ac:dyDescent="0.45"/>
  <cols>
    <col min="2" max="2" width="38.33203125" bestFit="1" customWidth="1"/>
    <col min="3" max="9" width="10.33203125" bestFit="1" customWidth="1"/>
    <col min="11" max="11" width="38.33203125" bestFit="1" customWidth="1"/>
    <col min="12" max="18" width="10.33203125" bestFit="1" customWidth="1"/>
    <col min="20" max="20" width="38.33203125" bestFit="1" customWidth="1"/>
    <col min="21" max="27" width="10.33203125" bestFit="1" customWidth="1"/>
    <col min="29" max="29" width="38.33203125" bestFit="1" customWidth="1"/>
    <col min="30" max="36" width="10.33203125" bestFit="1" customWidth="1"/>
  </cols>
  <sheetData>
    <row r="1" spans="2:36" ht="14.65" thickBot="1" x14ac:dyDescent="0.5"/>
    <row r="2" spans="2:36" ht="14.65" thickBot="1" x14ac:dyDescent="0.5">
      <c r="B2" s="296">
        <f>_1!E3</f>
        <v>1.1000000000000001</v>
      </c>
      <c r="C2" s="397" t="str">
        <f>HLOOKUP(B2,_1!E3:E4,2)</f>
        <v>15-24/1</v>
      </c>
      <c r="D2" s="398"/>
      <c r="E2" s="398"/>
      <c r="F2" s="398"/>
      <c r="G2" s="398"/>
      <c r="H2" s="398"/>
      <c r="I2" s="399"/>
      <c r="K2" s="296">
        <f>_1!F3</f>
        <v>1.2</v>
      </c>
      <c r="L2" s="397" t="str">
        <f>HLOOKUP(K2,_1!F3:F4,2)</f>
        <v>15-24/2</v>
      </c>
      <c r="M2" s="398"/>
      <c r="N2" s="398"/>
      <c r="O2" s="398"/>
      <c r="P2" s="398"/>
      <c r="Q2" s="398"/>
      <c r="R2" s="399"/>
      <c r="T2" s="296">
        <f>_1!H3</f>
        <v>2.1</v>
      </c>
      <c r="U2" s="397" t="str">
        <f>HLOOKUP(T2,_1!H3:H4,2)</f>
        <v>15-25</v>
      </c>
      <c r="V2" s="398"/>
      <c r="W2" s="398"/>
      <c r="X2" s="398"/>
      <c r="Y2" s="398"/>
      <c r="Z2" s="398"/>
      <c r="AA2" s="399"/>
      <c r="AC2" s="296">
        <f>_1!I3</f>
        <v>2.2000000000000002</v>
      </c>
      <c r="AD2" s="397" t="str">
        <f>HLOOKUP(AC2,_1!I3:I4,2)</f>
        <v>15-24/4</v>
      </c>
      <c r="AE2" s="398"/>
      <c r="AF2" s="398"/>
      <c r="AG2" s="398"/>
      <c r="AH2" s="398"/>
      <c r="AI2" s="398"/>
      <c r="AJ2" s="399"/>
    </row>
    <row r="3" spans="2:36" ht="28.9" thickBot="1" x14ac:dyDescent="0.5">
      <c r="B3" s="107" t="s">
        <v>204</v>
      </c>
      <c r="C3" s="107" t="s">
        <v>300</v>
      </c>
      <c r="D3" s="107" t="s">
        <v>301</v>
      </c>
      <c r="E3" s="107" t="s">
        <v>205</v>
      </c>
      <c r="F3" s="107" t="s">
        <v>206</v>
      </c>
      <c r="G3" s="107" t="s">
        <v>207</v>
      </c>
      <c r="H3" s="107" t="s">
        <v>327</v>
      </c>
      <c r="I3" s="214" t="s">
        <v>270</v>
      </c>
      <c r="K3" s="107" t="s">
        <v>204</v>
      </c>
      <c r="L3" s="107" t="s">
        <v>300</v>
      </c>
      <c r="M3" s="107" t="s">
        <v>301</v>
      </c>
      <c r="N3" s="107" t="s">
        <v>205</v>
      </c>
      <c r="O3" s="107" t="s">
        <v>206</v>
      </c>
      <c r="P3" s="107" t="s">
        <v>207</v>
      </c>
      <c r="Q3" s="107" t="s">
        <v>327</v>
      </c>
      <c r="R3" s="214" t="s">
        <v>270</v>
      </c>
      <c r="T3" s="107" t="s">
        <v>204</v>
      </c>
      <c r="U3" s="107" t="s">
        <v>300</v>
      </c>
      <c r="V3" s="107" t="s">
        <v>301</v>
      </c>
      <c r="W3" s="107" t="s">
        <v>205</v>
      </c>
      <c r="X3" s="107" t="s">
        <v>206</v>
      </c>
      <c r="Y3" s="107" t="s">
        <v>207</v>
      </c>
      <c r="Z3" s="107" t="s">
        <v>327</v>
      </c>
      <c r="AA3" s="214" t="s">
        <v>270</v>
      </c>
      <c r="AC3" s="107" t="s">
        <v>204</v>
      </c>
      <c r="AD3" s="107" t="s">
        <v>300</v>
      </c>
      <c r="AE3" s="107" t="s">
        <v>301</v>
      </c>
      <c r="AF3" s="107" t="s">
        <v>205</v>
      </c>
      <c r="AG3" s="107" t="s">
        <v>206</v>
      </c>
      <c r="AH3" s="107" t="s">
        <v>207</v>
      </c>
      <c r="AI3" s="107" t="s">
        <v>327</v>
      </c>
      <c r="AJ3" s="214" t="s">
        <v>270</v>
      </c>
    </row>
    <row r="4" spans="2:36" ht="14.65" thickBot="1" x14ac:dyDescent="0.5">
      <c r="B4" s="3" t="str">
        <f>грунты!B2</f>
        <v>песок рыхлый</v>
      </c>
      <c r="C4" s="187">
        <f>VLOOKUP(B4,грунты!$B$2:$D$47,2,FALSE)</f>
        <v>1</v>
      </c>
      <c r="D4" s="187">
        <f>VLOOKUP(B4,грунты!$B$2:$D$47,3,FALSE)</f>
        <v>1</v>
      </c>
      <c r="E4" s="298">
        <f>IF(HLOOKUP(B2,_1!3:27,4)=0,HLOOKUP(B2,_1!3:27,3),HLOOKUP(B2,_1!3:27,4))</f>
        <v>139.30000000000001</v>
      </c>
      <c r="F4" s="3">
        <v>138.6</v>
      </c>
      <c r="G4" s="8">
        <f>E4-F4</f>
        <v>0.70000000000001705</v>
      </c>
      <c r="H4" s="204">
        <f>IF((IF(E4-(F12+F13)&gt;G4,G4,E4-(F12+F13)))&lt;0,0,IF(E4-(F12+F13)&gt;G4,G4,E4-(F12+F13)))</f>
        <v>0.70000000000001705</v>
      </c>
      <c r="I4" s="215">
        <f>G4-H4</f>
        <v>0</v>
      </c>
      <c r="K4" s="3" t="str">
        <f>грунты!B2</f>
        <v>песок рыхлый</v>
      </c>
      <c r="L4" s="187">
        <f>VLOOKUP(K4,грунты!$B$2:$D$47,2,FALSE)</f>
        <v>1</v>
      </c>
      <c r="M4" s="187">
        <f>VLOOKUP(K4,грунты!$B$2:$D$47,3,FALSE)</f>
        <v>1</v>
      </c>
      <c r="N4" s="298">
        <f>IF(HLOOKUP(K2,_1!3:27,4)=0,HLOOKUP(K2,_1!3:27,3),HLOOKUP(K2,_1!3:27,4))</f>
        <v>139.30000000000001</v>
      </c>
      <c r="O4" s="206">
        <v>135.80000000000001</v>
      </c>
      <c r="P4" s="8">
        <f>N4-O4</f>
        <v>3.5</v>
      </c>
      <c r="Q4" s="204">
        <f>IF((IF(N4-(O12+O13)&gt;P4,P4,N4-(O12+O13)))&lt;0,0,IF(N4-(O12+O13)&gt;P4,P4,N4-(O12+O13)))</f>
        <v>1.6100000000000136</v>
      </c>
      <c r="R4" s="215">
        <f>P4-Q4</f>
        <v>1.8899999999999864</v>
      </c>
      <c r="T4" s="3" t="str">
        <f>грунты!B2</f>
        <v>песок рыхлый</v>
      </c>
      <c r="U4" s="205">
        <f>VLOOKUP(T4,грунты!$B$2:$D$47,2,FALSE)</f>
        <v>1</v>
      </c>
      <c r="V4" s="205">
        <f>VLOOKUP(T4,грунты!$B$2:$D$47,3,FALSE)</f>
        <v>1</v>
      </c>
      <c r="W4" s="298">
        <f>IF(HLOOKUP(T2,_1!3:27,4)=0,HLOOKUP(T2,_1!3:27,3),HLOOKUP(T2,_1!3:27,4))</f>
        <v>139.19999999999999</v>
      </c>
      <c r="X4" s="206">
        <v>138.5</v>
      </c>
      <c r="Y4" s="8">
        <f t="shared" ref="Y4:Y12" si="0">W4-X4</f>
        <v>0.69999999999998863</v>
      </c>
      <c r="Z4" s="204">
        <f>IF((IF(W4-(X12+X13)&gt;Y4,Y4,W4-(X12+X13)))&lt;0,0,IF(W4-(X12+X13)&gt;Y4,Y4,W4-(X12+X13)))</f>
        <v>0</v>
      </c>
      <c r="AA4" s="215">
        <f>Y4-Z4</f>
        <v>0.69999999999998863</v>
      </c>
      <c r="AC4" s="3" t="str">
        <f>грунты!B2</f>
        <v>песок рыхлый</v>
      </c>
      <c r="AD4" s="205">
        <f>VLOOKUP(AC4,грунты!$B$2:$D$47,2,FALSE)</f>
        <v>1</v>
      </c>
      <c r="AE4" s="205">
        <f>VLOOKUP(AC4,грунты!$B$2:$D$47,3,FALSE)</f>
        <v>1</v>
      </c>
      <c r="AF4" s="298">
        <f>IF(HLOOKUP(AC2,_1!3:27,4)=0,HLOOKUP(AC2,_1!3:27,3),HLOOKUP(AC2,_1!3:27,4))</f>
        <v>139.4</v>
      </c>
      <c r="AG4" s="206">
        <v>138.69999999999999</v>
      </c>
      <c r="AH4" s="8">
        <f t="shared" ref="AH4:AH12" si="1">AF4-AG4</f>
        <v>0.70000000000001705</v>
      </c>
      <c r="AI4" s="204">
        <f>IF((IF(AF4-(AG12+AG13)&gt;AH4,AH4,AF4-(AG12+AG13)))&lt;0,0,IF(AF4-(AG12+AG13)&gt;AH4,AH4,AF4-(AG12+AG13)))</f>
        <v>0.70000000000001705</v>
      </c>
      <c r="AJ4" s="215">
        <f>AH4-AI4</f>
        <v>0</v>
      </c>
    </row>
    <row r="5" spans="2:36" x14ac:dyDescent="0.45">
      <c r="B5" s="3" t="str">
        <f>грунты!B3</f>
        <v>песок другой</v>
      </c>
      <c r="C5" s="187">
        <f>VLOOKUP(B5,грунты!$B$2:$D$47,2,FALSE)</f>
        <v>2</v>
      </c>
      <c r="D5" s="187">
        <f>VLOOKUP(B5,грунты!$B$2:$D$47,3,FALSE)</f>
        <v>1</v>
      </c>
      <c r="E5" s="100">
        <f t="shared" ref="E5:E11" si="2">F4</f>
        <v>138.6</v>
      </c>
      <c r="F5" s="3">
        <v>137.6</v>
      </c>
      <c r="G5" s="8">
        <f t="shared" ref="G5:G12" si="3">E5-F5</f>
        <v>1</v>
      </c>
      <c r="H5" s="204">
        <f>IF((IF(E4-(F12+F13)&gt;SUM(G4:G5),G5,E4-(F12+F13)-G4))&lt;0,0,IF(E4-(F12+F13)&gt;SUM(G4:G5),G5,E4-(F12+F13)-G4))</f>
        <v>1</v>
      </c>
      <c r="I5" s="216">
        <f t="shared" ref="I5:I12" si="4">G5-H5</f>
        <v>0</v>
      </c>
      <c r="K5" s="3" t="str">
        <f>грунты!B2</f>
        <v>песок рыхлый</v>
      </c>
      <c r="L5" s="187">
        <f>VLOOKUP(K5,грунты!$B$2:$D$47,2,FALSE)</f>
        <v>1</v>
      </c>
      <c r="M5" s="187">
        <f>VLOOKUP(K5,грунты!$B$2:$D$47,3,FALSE)</f>
        <v>1</v>
      </c>
      <c r="N5" s="100">
        <f t="shared" ref="N5:N11" si="5">O4</f>
        <v>135.80000000000001</v>
      </c>
      <c r="O5" s="3">
        <v>134.6</v>
      </c>
      <c r="P5" s="8">
        <f t="shared" ref="P5:P12" si="6">N5-O5</f>
        <v>1.2000000000000171</v>
      </c>
      <c r="Q5" s="204">
        <f>IF((IF(N4-(O12+O13)&gt;SUM(P4:P5),P5,N4-(O12+O13)-P4))&lt;0,0,IF(N4-(O12+O13)&gt;SUM(P4:P5),P5,N4-(O12+O13)-P4))</f>
        <v>0</v>
      </c>
      <c r="R5" s="216">
        <f t="shared" ref="R5:R12" si="7">P5-Q5</f>
        <v>1.2000000000000171</v>
      </c>
      <c r="T5" s="3" t="str">
        <f>грунты!B3</f>
        <v>песок другой</v>
      </c>
      <c r="U5" s="187">
        <f>VLOOKUP(T5,грунты!$B$2:$D$47,2,FALSE)</f>
        <v>2</v>
      </c>
      <c r="V5" s="187">
        <f>VLOOKUP(T5,грунты!$B$2:$D$47,3,FALSE)</f>
        <v>1</v>
      </c>
      <c r="W5" s="100">
        <f t="shared" ref="W5:W10" si="8">X4</f>
        <v>138.5</v>
      </c>
      <c r="X5" s="3">
        <v>137.19999999999999</v>
      </c>
      <c r="Y5" s="8">
        <f t="shared" si="0"/>
        <v>1.3000000000000114</v>
      </c>
      <c r="Z5" s="204">
        <f>IF((IF(W4-(X12+X13)&gt;SUM(Y4:Y5),Y5,W4-(X12+X13)-Y4))&lt;0,0,IF(W4-(X12+X13)&gt;SUM(Y4:Y5),Y5,W4-(X12+X13)-Y4))</f>
        <v>0</v>
      </c>
      <c r="AA5" s="216">
        <f t="shared" ref="AA5:AA12" si="9">Y5-Z5</f>
        <v>1.3000000000000114</v>
      </c>
      <c r="AC5" s="3" t="str">
        <f>грунты!B2</f>
        <v>песок рыхлый</v>
      </c>
      <c r="AD5" s="187">
        <f>VLOOKUP(AC5,грунты!$B$2:$D$47,2,FALSE)</f>
        <v>1</v>
      </c>
      <c r="AE5" s="187">
        <f>VLOOKUP(AC5,грунты!$B$2:$D$47,3,FALSE)</f>
        <v>1</v>
      </c>
      <c r="AF5" s="100">
        <f t="shared" ref="AF5:AF12" si="10">AG4</f>
        <v>138.69999999999999</v>
      </c>
      <c r="AG5" s="3">
        <v>138</v>
      </c>
      <c r="AH5" s="8">
        <f t="shared" si="1"/>
        <v>0.69999999999998863</v>
      </c>
      <c r="AI5" s="204">
        <f>IF((IF(AF4-(AG12+AG13)&gt;SUM(AH4:AH5),AH5,AF4-(AG12+AG13)-AH4))&lt;0,0,IF(AF4-(AG12+AG13)&gt;SUM(AH4:AH5),AH5,AF4-(AG12+AG13)-AH4))</f>
        <v>0.19499999999999318</v>
      </c>
      <c r="AJ5" s="216">
        <f t="shared" ref="AJ5:AJ12" si="11">AH5-AI5</f>
        <v>0.50499999999999545</v>
      </c>
    </row>
    <row r="6" spans="2:36" x14ac:dyDescent="0.45">
      <c r="B6" s="3" t="str">
        <f>грунты!B2</f>
        <v>песок рыхлый</v>
      </c>
      <c r="C6" s="187">
        <f>VLOOKUP(B6,грунты!$B$2:$D$47,2,FALSE)</f>
        <v>1</v>
      </c>
      <c r="D6" s="187">
        <f>VLOOKUP(B6,грунты!$B$2:$D$47,3,FALSE)</f>
        <v>1</v>
      </c>
      <c r="E6" s="100">
        <f t="shared" si="2"/>
        <v>137.6</v>
      </c>
      <c r="F6" s="3">
        <v>136.19999999999999</v>
      </c>
      <c r="G6" s="8">
        <f t="shared" si="3"/>
        <v>1.4000000000000057</v>
      </c>
      <c r="H6" s="204">
        <f>IF((IF(E$4-(F$12+F$13)&gt;SUM(G$4:G6),G6,E$4-(F$12+F$13)-SUM(G$4:G5)))&lt;0,0,IF(E$4-(F$12+F$13)&gt;SUM(G$4:G6),G6,E$4-(F$12+F$13)-SUM(G$4:G5)))</f>
        <v>1.4000000000000057</v>
      </c>
      <c r="I6" s="216">
        <f t="shared" si="4"/>
        <v>0</v>
      </c>
      <c r="K6" s="3" t="str">
        <f>грунты!B10</f>
        <v>суглинок тугопластичный до 10% щебня</v>
      </c>
      <c r="L6" s="187">
        <f>VLOOKUP(K6,грунты!$B$2:$D$47,2,FALSE)</f>
        <v>1</v>
      </c>
      <c r="M6" s="187">
        <f>VLOOKUP(K6,грунты!$B$2:$D$47,3,FALSE)</f>
        <v>2</v>
      </c>
      <c r="N6" s="100">
        <f t="shared" si="5"/>
        <v>134.6</v>
      </c>
      <c r="O6" s="3">
        <v>133.4</v>
      </c>
      <c r="P6" s="8">
        <f t="shared" si="6"/>
        <v>1.1999999999999886</v>
      </c>
      <c r="Q6" s="204">
        <f>IF((IF(N$4-(O$12+O$13)&gt;SUM(P$4:P6),P6,N$4-(O$12+O$13)-SUM(P$4:P5)))&lt;0,0,IF(N$4-(O$12+O$13)&gt;SUM(P$4:P6),P6,N$4-(O$12+O$13)-SUM(P$4:P5)))</f>
        <v>0</v>
      </c>
      <c r="R6" s="216">
        <f t="shared" si="7"/>
        <v>1.1999999999999886</v>
      </c>
      <c r="T6" s="3" t="str">
        <f>грунты!B2</f>
        <v>песок рыхлый</v>
      </c>
      <c r="U6" s="187">
        <f>VLOOKUP(T6,грунты!$B$2:$D$47,2,FALSE)</f>
        <v>1</v>
      </c>
      <c r="V6" s="187">
        <f>VLOOKUP(T6,грунты!$B$2:$D$47,3,FALSE)</f>
        <v>1</v>
      </c>
      <c r="W6" s="100">
        <f t="shared" si="8"/>
        <v>137.19999999999999</v>
      </c>
      <c r="X6" s="3">
        <v>135.19999999999999</v>
      </c>
      <c r="Y6" s="8">
        <f t="shared" si="0"/>
        <v>2</v>
      </c>
      <c r="Z6" s="204">
        <f>IF((IF(W$4-(X$12+X$13)&gt;SUM(Y$4:Y6),Y6,W$4-(X$12+X$13)-SUM(Y$4:Y5)))&lt;0,0,IF(W$4-(X$12+X$13)&gt;SUM(Y$4:Y6),Y6,W$4-(X$12+X$13)-SUM(Y$4:Y5)))</f>
        <v>0</v>
      </c>
      <c r="AA6" s="216">
        <f t="shared" si="9"/>
        <v>2</v>
      </c>
      <c r="AC6" s="3" t="str">
        <f>грунты!B2</f>
        <v>песок рыхлый</v>
      </c>
      <c r="AD6" s="187">
        <f>VLOOKUP(AC6,грунты!$B$2:$D$47,2,FALSE)</f>
        <v>1</v>
      </c>
      <c r="AE6" s="187">
        <f>VLOOKUP(AC6,грунты!$B$2:$D$47,3,FALSE)</f>
        <v>1</v>
      </c>
      <c r="AF6" s="100">
        <f t="shared" si="10"/>
        <v>138</v>
      </c>
      <c r="AG6" s="3">
        <v>135.4</v>
      </c>
      <c r="AH6" s="8">
        <f t="shared" si="1"/>
        <v>2.5999999999999943</v>
      </c>
      <c r="AI6" s="204">
        <f>IF((IF(AF$4-(AG$12+AG$13)&gt;SUM(AH$4:AH6),AH6,AF$4-(AG$12+AG$13)-SUM(AH$4:AH5)))&lt;0,0,IF(AF$4-(AG$12+AG$13)&gt;SUM(AH$4:AH6),AH6,AF$4-(AG$12+AG$13)-SUM(AH$4:AH5)))</f>
        <v>0</v>
      </c>
      <c r="AJ6" s="216">
        <f t="shared" si="11"/>
        <v>2.5999999999999943</v>
      </c>
    </row>
    <row r="7" spans="2:36" x14ac:dyDescent="0.45">
      <c r="B7" s="3" t="str">
        <f>грунты!B2</f>
        <v>песок рыхлый</v>
      </c>
      <c r="C7" s="187">
        <f>VLOOKUP(B7,грунты!$B$2:$D$47,2,FALSE)</f>
        <v>1</v>
      </c>
      <c r="D7" s="187">
        <f>VLOOKUP(B7,грунты!$B$2:$D$47,3,FALSE)</f>
        <v>1</v>
      </c>
      <c r="E7" s="100">
        <f t="shared" si="2"/>
        <v>136.19999999999999</v>
      </c>
      <c r="F7" s="3">
        <v>135.19999999999999</v>
      </c>
      <c r="G7" s="8">
        <f t="shared" si="3"/>
        <v>1</v>
      </c>
      <c r="H7" s="204">
        <f>IF((IF(E$4-(F$12+F$13)&gt;SUM(G$4:G7),G7,E$4-(F$12+F$13)-SUM(G$4:G6)))&lt;0,0,IF(E$4-(F$12+F$13)&gt;SUM(G$4:G7),G7,E$4-(F$12+F$13)-SUM(G$4:G6)))</f>
        <v>1</v>
      </c>
      <c r="I7" s="216">
        <f t="shared" si="4"/>
        <v>0</v>
      </c>
      <c r="K7" s="3" t="str">
        <f>грунты!B3</f>
        <v>песок другой</v>
      </c>
      <c r="L7" s="187">
        <f>VLOOKUP(K7,грунты!$B$2:$D$47,2,FALSE)</f>
        <v>2</v>
      </c>
      <c r="M7" s="187">
        <f>VLOOKUP(K7,грунты!$B$2:$D$47,3,FALSE)</f>
        <v>1</v>
      </c>
      <c r="N7" s="100">
        <f t="shared" si="5"/>
        <v>133.4</v>
      </c>
      <c r="O7" s="3">
        <v>132.4</v>
      </c>
      <c r="P7" s="8">
        <f t="shared" si="6"/>
        <v>1</v>
      </c>
      <c r="Q7" s="204">
        <f>IF((IF(N$4-(O$12+O$13)&gt;SUM(P$4:P7),P7,N$4-(O$12+O$13)-SUM(P$4:P6)))&lt;0,0,IF(N$4-(O$12+O$13)&gt;SUM(P$4:P7),P7,N$4-(O$12+O$13)-SUM(P$4:P6)))</f>
        <v>0</v>
      </c>
      <c r="R7" s="216">
        <f t="shared" si="7"/>
        <v>1</v>
      </c>
      <c r="T7" s="3" t="str">
        <f>грунты!B10</f>
        <v>суглинок тугопластичный до 10% щебня</v>
      </c>
      <c r="U7" s="187">
        <f>VLOOKUP(T7,грунты!$B$2:$D$47,2,FALSE)</f>
        <v>1</v>
      </c>
      <c r="V7" s="187">
        <f>VLOOKUP(T7,грунты!$B$2:$D$47,3,FALSE)</f>
        <v>2</v>
      </c>
      <c r="W7" s="100">
        <f t="shared" si="8"/>
        <v>135.19999999999999</v>
      </c>
      <c r="X7" s="3">
        <v>133</v>
      </c>
      <c r="Y7" s="8">
        <f t="shared" si="0"/>
        <v>2.1999999999999886</v>
      </c>
      <c r="Z7" s="204">
        <f>IF((IF(W$4-(X$12+X$13)&gt;SUM(Y$4:Y7),Y7,W$4-(X$12+X$13)-SUM(Y$4:Y6)))&lt;0,0,IF(W$4-(X$12+X$13)&gt;SUM(Y$4:Y7),Y7,W$4-(X$12+X$13)-SUM(Y$4:Y6)))</f>
        <v>0</v>
      </c>
      <c r="AA7" s="216">
        <f t="shared" si="9"/>
        <v>2.1999999999999886</v>
      </c>
      <c r="AC7" s="3" t="str">
        <f>грунты!B2</f>
        <v>песок рыхлый</v>
      </c>
      <c r="AD7" s="187">
        <f>VLOOKUP(AC7,грунты!$B$2:$D$47,2,FALSE)</f>
        <v>1</v>
      </c>
      <c r="AE7" s="187">
        <f>VLOOKUP(AC7,грунты!$B$2:$D$47,3,FALSE)</f>
        <v>1</v>
      </c>
      <c r="AF7" s="100">
        <f t="shared" si="10"/>
        <v>135.4</v>
      </c>
      <c r="AG7" s="3">
        <v>135</v>
      </c>
      <c r="AH7" s="8">
        <f t="shared" si="1"/>
        <v>0.40000000000000568</v>
      </c>
      <c r="AI7" s="204">
        <f>IF((IF(AF$4-(AG$12+AG$13)&gt;SUM(AH$4:AH7),AH7,AF$4-(AG$12+AG$13)-SUM(AH$4:AH6)))&lt;0,0,IF(AF$4-(AG$12+AG$13)&gt;SUM(AH$4:AH7),AH7,AF$4-(AG$12+AG$13)-SUM(AH$4:AH6)))</f>
        <v>0</v>
      </c>
      <c r="AJ7" s="216">
        <f t="shared" si="11"/>
        <v>0.40000000000000568</v>
      </c>
    </row>
    <row r="8" spans="2:36" x14ac:dyDescent="0.45">
      <c r="B8" s="3" t="str">
        <f>грунты!B10</f>
        <v>суглинок тугопластичный до 10% щебня</v>
      </c>
      <c r="C8" s="187">
        <f>VLOOKUP(B8,грунты!$B$2:$D$47,2,FALSE)</f>
        <v>1</v>
      </c>
      <c r="D8" s="187">
        <f>VLOOKUP(B8,грунты!$B$2:$D$47,3,FALSE)</f>
        <v>2</v>
      </c>
      <c r="E8" s="100">
        <f t="shared" si="2"/>
        <v>135.19999999999999</v>
      </c>
      <c r="F8" s="3">
        <v>133.80000000000001</v>
      </c>
      <c r="G8" s="8">
        <f t="shared" si="3"/>
        <v>1.3999999999999773</v>
      </c>
      <c r="H8" s="204">
        <f>IF((IF(E$4-(F$12+F$13)&gt;SUM(G$4:G8),G8,E$4-(F$12+F$13)-SUM(G$4:G7)))&lt;0,0,IF(E$4-(F$12+F$13)&gt;SUM(G$4:G8),G8,E$4-(F$12+F$13)-SUM(G$4:G7)))</f>
        <v>0.50999999999999091</v>
      </c>
      <c r="I8" s="216">
        <f t="shared" si="4"/>
        <v>0.88999999999998636</v>
      </c>
      <c r="K8" s="3" t="str">
        <f>грунты!B10</f>
        <v>суглинок тугопластичный до 10% щебня</v>
      </c>
      <c r="L8" s="187">
        <f>VLOOKUP(K8,грунты!$B$2:$D$47,2,FALSE)</f>
        <v>1</v>
      </c>
      <c r="M8" s="187">
        <f>VLOOKUP(K8,грунты!$B$2:$D$47,3,FALSE)</f>
        <v>2</v>
      </c>
      <c r="N8" s="100">
        <f t="shared" si="5"/>
        <v>132.4</v>
      </c>
      <c r="O8" s="3">
        <v>131.80000000000001</v>
      </c>
      <c r="P8" s="8">
        <f t="shared" si="6"/>
        <v>0.59999999999999432</v>
      </c>
      <c r="Q8" s="204">
        <f>IF((IF(N$4-(O$12+O$13)&gt;SUM(P$4:P8),P8,N$4-(O$12+O$13)-SUM(P$4:P7)))&lt;0,0,IF(N$4-(O$12+O$13)&gt;SUM(P$4:P8),P8,N$4-(O$12+O$13)-SUM(P$4:P7)))</f>
        <v>0</v>
      </c>
      <c r="R8" s="216">
        <f t="shared" si="7"/>
        <v>0.59999999999999432</v>
      </c>
      <c r="T8" s="3" t="str">
        <f>грунты!B3</f>
        <v>песок другой</v>
      </c>
      <c r="U8" s="187">
        <f>VLOOKUP(T8,грунты!$B$2:$D$47,2,FALSE)</f>
        <v>2</v>
      </c>
      <c r="V8" s="187">
        <f>VLOOKUP(T8,грунты!$B$2:$D$47,3,FALSE)</f>
        <v>1</v>
      </c>
      <c r="W8" s="100">
        <f t="shared" si="8"/>
        <v>133</v>
      </c>
      <c r="X8" s="3">
        <v>130</v>
      </c>
      <c r="Y8" s="8">
        <f t="shared" si="0"/>
        <v>3</v>
      </c>
      <c r="Z8" s="204">
        <f>IF((IF(W$4-(X$12+X$13)&gt;SUM(Y$4:Y8),Y8,W$4-(X$12+X$13)-SUM(Y$4:Y7)))&lt;0,0,IF(W$4-(X$12+X$13)&gt;SUM(Y$4:Y8),Y8,W$4-(X$12+X$13)-SUM(Y$4:Y7)))</f>
        <v>0</v>
      </c>
      <c r="AA8" s="216">
        <f t="shared" si="9"/>
        <v>3</v>
      </c>
      <c r="AC8" s="3" t="str">
        <f>грунты!B10</f>
        <v>суглинок тугопластичный до 10% щебня</v>
      </c>
      <c r="AD8" s="187">
        <f>VLOOKUP(AC8,грунты!$B$2:$D$47,2,FALSE)</f>
        <v>1</v>
      </c>
      <c r="AE8" s="187">
        <f>VLOOKUP(AC8,грунты!$B$2:$D$47,3,FALSE)</f>
        <v>2</v>
      </c>
      <c r="AF8" s="100">
        <f t="shared" si="10"/>
        <v>135</v>
      </c>
      <c r="AG8" s="3">
        <v>133.80000000000001</v>
      </c>
      <c r="AH8" s="8">
        <f t="shared" si="1"/>
        <v>1.1999999999999886</v>
      </c>
      <c r="AI8" s="204">
        <f>IF((IF(AF$4-(AG$12+AG$13)&gt;SUM(AH$4:AH8),AH8,AF$4-(AG$12+AG$13)-SUM(AH$4:AH7)))&lt;0,0,IF(AF$4-(AG$12+AG$13)&gt;SUM(AH$4:AH8),AH8,AF$4-(AG$12+AG$13)-SUM(AH$4:AH7)))</f>
        <v>0</v>
      </c>
      <c r="AJ8" s="216">
        <f t="shared" si="11"/>
        <v>1.1999999999999886</v>
      </c>
    </row>
    <row r="9" spans="2:36" x14ac:dyDescent="0.45">
      <c r="B9" s="3" t="str">
        <f>грунты!B3</f>
        <v>песок другой</v>
      </c>
      <c r="C9" s="187">
        <f>VLOOKUP(B9,грунты!$B$2:$D$47,2,FALSE)</f>
        <v>2</v>
      </c>
      <c r="D9" s="187">
        <f>VLOOKUP(B9,грунты!$B$2:$D$47,3,FALSE)</f>
        <v>1</v>
      </c>
      <c r="E9" s="100">
        <f t="shared" si="2"/>
        <v>133.80000000000001</v>
      </c>
      <c r="F9" s="3">
        <v>129.80000000000001</v>
      </c>
      <c r="G9" s="8">
        <f t="shared" si="3"/>
        <v>4</v>
      </c>
      <c r="H9" s="204">
        <f>IF((IF(E$4-(F$12+F$13)&gt;SUM(G$4:G9),G9,E$4-(F$12+F$13)-SUM(G$4:G8)))&lt;0,0,IF(E$4-(F$12+F$13)&gt;SUM(G$4:G9),G9,E$4-(F$12+F$13)-SUM(G$4:G8)))</f>
        <v>0</v>
      </c>
      <c r="I9" s="216">
        <f t="shared" si="4"/>
        <v>4</v>
      </c>
      <c r="K9" s="3" t="str">
        <f>грунты!B3</f>
        <v>песок другой</v>
      </c>
      <c r="L9" s="187">
        <f>VLOOKUP(K9,грунты!$B$2:$D$47,2,FALSE)</f>
        <v>2</v>
      </c>
      <c r="M9" s="187">
        <f>VLOOKUP(K9,грунты!$B$2:$D$47,3,FALSE)</f>
        <v>1</v>
      </c>
      <c r="N9" s="100">
        <f t="shared" si="5"/>
        <v>131.80000000000001</v>
      </c>
      <c r="O9" s="3">
        <v>129.80000000000001</v>
      </c>
      <c r="P9" s="8">
        <f t="shared" si="6"/>
        <v>2</v>
      </c>
      <c r="Q9" s="204">
        <f>IF((IF(N$4-(O$12+O$13)&gt;SUM(P$4:P9),P9,N$4-(O$12+O$13)-SUM(P$4:P8)))&lt;0,0,IF(N$4-(O$12+O$13)&gt;SUM(P$4:P9),P9,N$4-(O$12+O$13)-SUM(P$4:P8)))</f>
        <v>0</v>
      </c>
      <c r="R9" s="216">
        <f t="shared" si="7"/>
        <v>2</v>
      </c>
      <c r="T9" s="3" t="str">
        <f>грунты!B25</f>
        <v>глина полутвердая</v>
      </c>
      <c r="U9" s="187">
        <f>VLOOKUP(T9,грунты!$B$2:$D$47,2,FALSE)</f>
        <v>2</v>
      </c>
      <c r="V9" s="187">
        <f>VLOOKUP(T9,грунты!$B$2:$D$47,3,FALSE)</f>
        <v>3</v>
      </c>
      <c r="W9" s="100">
        <f t="shared" si="8"/>
        <v>130</v>
      </c>
      <c r="X9" s="3">
        <v>127.4</v>
      </c>
      <c r="Y9" s="8">
        <f t="shared" si="0"/>
        <v>2.5999999999999943</v>
      </c>
      <c r="Z9" s="204">
        <f>IF((IF(W$4-(X$12+X$13)&gt;SUM(Y$4:Y9),Y9,W$4-(X$12+X$13)-SUM(Y$4:Y8)))&lt;0,0,IF(W$4-(X$12+X$13)&gt;SUM(Y$4:Y9),Y9,W$4-(X$12+X$13)-SUM(Y$4:Y8)))</f>
        <v>0</v>
      </c>
      <c r="AA9" s="216">
        <f t="shared" si="9"/>
        <v>2.5999999999999943</v>
      </c>
      <c r="AC9" s="3" t="str">
        <f>грунты!B2</f>
        <v>песок рыхлый</v>
      </c>
      <c r="AD9" s="187">
        <f>VLOOKUP(AC9,грунты!$B$2:$D$47,2,FALSE)</f>
        <v>1</v>
      </c>
      <c r="AE9" s="187">
        <f>VLOOKUP(AC9,грунты!$B$2:$D$47,3,FALSE)</f>
        <v>1</v>
      </c>
      <c r="AF9" s="100">
        <f t="shared" si="10"/>
        <v>133.80000000000001</v>
      </c>
      <c r="AG9" s="3">
        <v>130.19999999999999</v>
      </c>
      <c r="AH9" s="8">
        <f t="shared" si="1"/>
        <v>3.6000000000000227</v>
      </c>
      <c r="AI9" s="204">
        <f>IF((IF(AF$4-(AG$12+AG$13)&gt;SUM(AH$4:AH9),AH9,AF$4-(AG$12+AG$13)-SUM(AH$4:AH8)))&lt;0,0,IF(AF$4-(AG$12+AG$13)&gt;SUM(AH$4:AH9),AH9,AF$4-(AG$12+AG$13)-SUM(AH$4:AH8)))</f>
        <v>0</v>
      </c>
      <c r="AJ9" s="216">
        <f t="shared" si="11"/>
        <v>3.6000000000000227</v>
      </c>
    </row>
    <row r="10" spans="2:36" x14ac:dyDescent="0.45">
      <c r="B10" s="3" t="str">
        <f>грунты!B25</f>
        <v>глина полутвердая</v>
      </c>
      <c r="C10" s="187">
        <f>VLOOKUP(B10,грунты!$B$2:$D$47,2,FALSE)</f>
        <v>2</v>
      </c>
      <c r="D10" s="187">
        <f>VLOOKUP(B10,грунты!$B$2:$D$47,3,FALSE)</f>
        <v>3</v>
      </c>
      <c r="E10" s="100">
        <f t="shared" si="2"/>
        <v>129.80000000000001</v>
      </c>
      <c r="F10" s="3">
        <v>127.5</v>
      </c>
      <c r="G10" s="8">
        <f t="shared" si="3"/>
        <v>2.3000000000000114</v>
      </c>
      <c r="H10" s="204">
        <f>IF((IF(E$4-(F$12+F$13)&gt;SUM(G$4:G10),G10,E$4-(F$12+F$13)-SUM(G$4:G9)))&lt;0,0,IF(E$4-(F$12+F$13)&gt;SUM(G$4:G10),G10,E$4-(F$12+F$13)-SUM(G$4:G9)))</f>
        <v>0</v>
      </c>
      <c r="I10" s="216">
        <f t="shared" si="4"/>
        <v>2.3000000000000114</v>
      </c>
      <c r="K10" s="3" t="str">
        <f>грунты!B25</f>
        <v>глина полутвердая</v>
      </c>
      <c r="L10" s="187">
        <f>VLOOKUP(K10,грунты!$B$2:$D$47,2,FALSE)</f>
        <v>2</v>
      </c>
      <c r="M10" s="187">
        <f>VLOOKUP(K10,грунты!$B$2:$D$47,3,FALSE)</f>
        <v>3</v>
      </c>
      <c r="N10" s="100">
        <f t="shared" si="5"/>
        <v>129.80000000000001</v>
      </c>
      <c r="O10" s="3">
        <v>126.9</v>
      </c>
      <c r="P10" s="8">
        <f t="shared" si="6"/>
        <v>2.9000000000000057</v>
      </c>
      <c r="Q10" s="204">
        <f>IF((IF(N$4-(O$12+O$13)&gt;SUM(P$4:P10),P10,N$4-(O$12+O$13)-SUM(P$4:P9)))&lt;0,0,IF(N$4-(O$12+O$13)&gt;SUM(P$4:P10),P10,N$4-(O$12+O$13)-SUM(P$4:P9)))</f>
        <v>0</v>
      </c>
      <c r="R10" s="216">
        <f t="shared" si="7"/>
        <v>2.9000000000000057</v>
      </c>
      <c r="T10" s="3" t="str">
        <f>грунты!B30</f>
        <v>глина плотная, твердая</v>
      </c>
      <c r="U10" s="187">
        <f>VLOOKUP(T10,грунты!$B$2:$D$47,2,FALSE)</f>
        <v>2</v>
      </c>
      <c r="V10" s="187">
        <f>VLOOKUP(T10,грунты!$B$2:$D$47,3,FALSE)</f>
        <v>5</v>
      </c>
      <c r="W10" s="100">
        <f t="shared" si="8"/>
        <v>127.4</v>
      </c>
      <c r="X10" s="3">
        <v>124.2</v>
      </c>
      <c r="Y10" s="8">
        <f t="shared" si="0"/>
        <v>3.2000000000000028</v>
      </c>
      <c r="Z10" s="204">
        <f>IF((IF(W$4-(X$12+X$13)&gt;SUM(Y$4:Y10),Y10,W$4-(X$12+X$13)-SUM(Y$4:Y9)))&lt;0,0,IF(W$4-(X$12+X$13)&gt;SUM(Y$4:Y10),Y10,W$4-(X$12+X$13)-SUM(Y$4:Y9)))</f>
        <v>0</v>
      </c>
      <c r="AA10" s="216">
        <f t="shared" si="9"/>
        <v>3.2000000000000028</v>
      </c>
      <c r="AC10" s="3" t="str">
        <f>грунты!B25</f>
        <v>глина полутвердая</v>
      </c>
      <c r="AD10" s="187">
        <f>VLOOKUP(AC10,грунты!$B$2:$D$47,2,FALSE)</f>
        <v>2</v>
      </c>
      <c r="AE10" s="187">
        <f>VLOOKUP(AC10,грунты!$B$2:$D$47,3,FALSE)</f>
        <v>3</v>
      </c>
      <c r="AF10" s="100">
        <f t="shared" si="10"/>
        <v>130.19999999999999</v>
      </c>
      <c r="AG10" s="3">
        <v>127.5</v>
      </c>
      <c r="AH10" s="8">
        <f t="shared" si="1"/>
        <v>2.6999999999999886</v>
      </c>
      <c r="AI10" s="204">
        <f>IF((IF(AF$4-(AG$12+AG$13)&gt;SUM(AH$4:AH10),AH10,AF$4-(AG$12+AG$13)-SUM(AH$4:AH9)))&lt;0,0,IF(AF$4-(AG$12+AG$13)&gt;SUM(AH$4:AH10),AH10,AF$4-(AG$12+AG$13)-SUM(AH$4:AH9)))</f>
        <v>0</v>
      </c>
      <c r="AJ10" s="216">
        <f t="shared" si="11"/>
        <v>2.6999999999999886</v>
      </c>
    </row>
    <row r="11" spans="2:36" x14ac:dyDescent="0.45">
      <c r="B11" s="3" t="str">
        <f>грунты!B30</f>
        <v>глина плотная, твердая</v>
      </c>
      <c r="C11" s="187">
        <f>VLOOKUP(B11,грунты!$B$2:$D$47,2,FALSE)</f>
        <v>2</v>
      </c>
      <c r="D11" s="187">
        <f>VLOOKUP(B11,грунты!$B$2:$D$47,3,FALSE)</f>
        <v>5</v>
      </c>
      <c r="E11" s="100">
        <f t="shared" si="2"/>
        <v>127.5</v>
      </c>
      <c r="F11" s="3">
        <v>124.6</v>
      </c>
      <c r="G11" s="8">
        <f t="shared" si="3"/>
        <v>2.9000000000000057</v>
      </c>
      <c r="H11" s="204">
        <f>IF((IF(E$4-(F$12+F$13)&gt;SUM(G$4:G11),G11,E$4-(F$12+F$13)-SUM(G$4:G10)))&lt;0,0,IF(E$4-(F$12+F$13)&gt;SUM(G$4:G11),G11,E$4-(F$12+F$13)-SUM(G$4:G10)))</f>
        <v>0</v>
      </c>
      <c r="I11" s="216">
        <f t="shared" si="4"/>
        <v>2.9000000000000057</v>
      </c>
      <c r="K11" s="3" t="str">
        <f>грунты!B30</f>
        <v>глина плотная, твердая</v>
      </c>
      <c r="L11" s="187">
        <f>VLOOKUP(K11,грунты!$B$2:$D$47,2,FALSE)</f>
        <v>2</v>
      </c>
      <c r="M11" s="187">
        <f>VLOOKUP(K11,грунты!$B$2:$D$47,3,FALSE)</f>
        <v>5</v>
      </c>
      <c r="N11" s="100">
        <f t="shared" si="5"/>
        <v>126.9</v>
      </c>
      <c r="O11" s="3">
        <v>124.2</v>
      </c>
      <c r="P11" s="8">
        <f t="shared" si="6"/>
        <v>2.7000000000000028</v>
      </c>
      <c r="Q11" s="204">
        <f>IF((IF(N$4-(O$12+O$13)&gt;SUM(P$4:P11),P11,N$4-(O$12+O$13)-SUM(P$4:P10)))&lt;0,0,IF(N$4-(O$12+O$13)&gt;SUM(P$4:P11),P11,N$4-(O$12+O$13)-SUM(P$4:P10)))</f>
        <v>0</v>
      </c>
      <c r="R11" s="216">
        <f t="shared" si="7"/>
        <v>2.7000000000000028</v>
      </c>
      <c r="T11" s="3" t="str">
        <f>грунты!B30</f>
        <v>глина плотная, твердая</v>
      </c>
      <c r="U11" s="187">
        <f>VLOOKUP(T11,грунты!$B$2:$D$47,2,FALSE)</f>
        <v>2</v>
      </c>
      <c r="V11" s="187">
        <f>VLOOKUP(T11,грунты!$B$2:$D$47,3,FALSE)</f>
        <v>5</v>
      </c>
      <c r="W11" s="100">
        <f>X10</f>
        <v>124.2</v>
      </c>
      <c r="X11" s="3">
        <v>124.2</v>
      </c>
      <c r="Y11" s="8">
        <f>W11-X11</f>
        <v>0</v>
      </c>
      <c r="Z11" s="204">
        <f>IF((IF(W$4-(X$12+X$13)&gt;SUM(Y$4:Y11),Y11,W$4-(X$12+X$13)-SUM(Y$4:Y10)))&lt;0,0,IF(W$4-(X$12+X$13)&gt;SUM(Y$4:Y11),Y11,W$4-(X$12+X$13)-SUM(Y$4:Y10)))</f>
        <v>0</v>
      </c>
      <c r="AA11" s="216">
        <f>Y11-Z11</f>
        <v>0</v>
      </c>
      <c r="AC11" s="3" t="str">
        <f>грунты!B30</f>
        <v>глина плотная, твердая</v>
      </c>
      <c r="AD11" s="187">
        <f>VLOOKUP(AC11,грунты!$B$2:$D$47,2,FALSE)</f>
        <v>2</v>
      </c>
      <c r="AE11" s="187">
        <f>VLOOKUP(AC11,грунты!$B$2:$D$47,3,FALSE)</f>
        <v>5</v>
      </c>
      <c r="AF11" s="100">
        <f t="shared" si="10"/>
        <v>127.5</v>
      </c>
      <c r="AG11" s="3">
        <v>124.2</v>
      </c>
      <c r="AH11" s="8">
        <f>AF11-AG11</f>
        <v>3.2999999999999972</v>
      </c>
      <c r="AI11" s="204">
        <f>IF((IF(AF$4-(AG$12+AG$13)&gt;SUM(AH$4:AH11),AH11,AF$4-(AG$12+AG$13)-SUM(AH$4:AH10)))&lt;0,0,IF(AF$4-(AG$12+AG$13)&gt;SUM(AH$4:AH11),AH11,AF$4-(AG$12+AG$13)-SUM(AH$4:AH10)))</f>
        <v>0</v>
      </c>
      <c r="AJ11" s="216">
        <f>AH11-AI11</f>
        <v>3.2999999999999972</v>
      </c>
    </row>
    <row r="12" spans="2:36" ht="14.65" thickBot="1" x14ac:dyDescent="0.5">
      <c r="B12" s="3" t="str">
        <f>грунты!B2</f>
        <v>песок рыхлый</v>
      </c>
      <c r="C12" s="187">
        <f>VLOOKUP(B12,грунты!$B$2:$D$47,2,FALSE)</f>
        <v>1</v>
      </c>
      <c r="D12" s="187">
        <f>VLOOKUP(B12,грунты!$B$2:$D$47,3,FALSE)</f>
        <v>1</v>
      </c>
      <c r="E12" s="14">
        <f>F11</f>
        <v>124.6</v>
      </c>
      <c r="F12" s="297">
        <f>HLOOKUP(B2,_1!3:27,5)</f>
        <v>122.69</v>
      </c>
      <c r="G12" s="8">
        <f t="shared" si="3"/>
        <v>1.9099999999999966</v>
      </c>
      <c r="H12" s="204">
        <f>IF((IF(E$4-(F$12+F$13)&gt;SUM(G$4:G12),G12,E$4-(F$12+F$13)-SUM(G$4:G11)))&lt;0,0,IF(E$4-(F$12+F$13)&gt;SUM(G$4:G12),G12,E$4-(F$12+F$13)-SUM(G$4:G11)))</f>
        <v>0</v>
      </c>
      <c r="I12" s="217">
        <f t="shared" si="4"/>
        <v>1.9099999999999966</v>
      </c>
      <c r="K12" s="3" t="str">
        <f>грунты!B2</f>
        <v>песок рыхлый</v>
      </c>
      <c r="L12" s="187">
        <f>VLOOKUP(K12,грунты!$B$2:$D$47,2,FALSE)</f>
        <v>1</v>
      </c>
      <c r="M12" s="187">
        <f>VLOOKUP(K12,грунты!$B$2:$D$47,3,FALSE)</f>
        <v>1</v>
      </c>
      <c r="N12" s="14">
        <f>O11</f>
        <v>124.2</v>
      </c>
      <c r="O12" s="297">
        <f>HLOOKUP(K2,_1!3:27,5)</f>
        <v>122.69</v>
      </c>
      <c r="P12" s="8">
        <f t="shared" si="6"/>
        <v>1.5100000000000051</v>
      </c>
      <c r="Q12" s="204">
        <f>IF((IF(N$4-(O$12+O$13)&gt;SUM(P$4:P12),P12,N$4-(O$12+O$13)-SUM(P$4:P11)))&lt;0,0,IF(N$4-(O$12+O$13)&gt;SUM(P$4:P12),P12,N$4-(O$12+O$13)-SUM(P$4:P11)))</f>
        <v>0</v>
      </c>
      <c r="R12" s="217">
        <f t="shared" si="7"/>
        <v>1.5100000000000051</v>
      </c>
      <c r="T12" s="3" t="str">
        <f>грунты!B2</f>
        <v>песок рыхлый</v>
      </c>
      <c r="U12" s="207">
        <f>VLOOKUP(T12,грунты!$B$2:$D$47,2,FALSE)</f>
        <v>1</v>
      </c>
      <c r="V12" s="207">
        <f>VLOOKUP(T12,грунты!$B$2:$D$47,3,FALSE)</f>
        <v>1</v>
      </c>
      <c r="W12" s="100">
        <f>X10</f>
        <v>124.2</v>
      </c>
      <c r="X12" s="297">
        <f>HLOOKUP(T2,_1!3:27,5)</f>
        <v>122.505</v>
      </c>
      <c r="Y12" s="8">
        <f t="shared" si="0"/>
        <v>1.6950000000000074</v>
      </c>
      <c r="Z12" s="204">
        <f>IF((IF(W$4-(X$12+X$13)&gt;SUM(Y$4:Y12),Y12,W$4-(X$12+X$13)-SUM(Y$4:Y11)))&lt;0,0,IF(W$4-(X$12+X$13)&gt;SUM(Y$4:Y12),Y12,W$4-(X$12+X$13)-SUM(Y$4:Y11)))</f>
        <v>0</v>
      </c>
      <c r="AA12" s="216">
        <f t="shared" si="9"/>
        <v>1.6950000000000074</v>
      </c>
      <c r="AC12" s="3" t="str">
        <f>грунты!B2</f>
        <v>песок рыхлый</v>
      </c>
      <c r="AD12" s="207">
        <f>VLOOKUP(AC12,грунты!$B$2:$D$47,2,FALSE)</f>
        <v>1</v>
      </c>
      <c r="AE12" s="207">
        <f>VLOOKUP(AC12,грунты!$B$2:$D$47,3,FALSE)</f>
        <v>1</v>
      </c>
      <c r="AF12" s="100">
        <f t="shared" si="10"/>
        <v>124.2</v>
      </c>
      <c r="AG12" s="297">
        <f>HLOOKUP(AC2,_1!3:27,5)</f>
        <v>122.505</v>
      </c>
      <c r="AH12" s="8">
        <f t="shared" si="1"/>
        <v>1.6950000000000074</v>
      </c>
      <c r="AI12" s="204">
        <f>IF((IF(AF$4-(AG$12+AG$13)&gt;SUM(AH$4:AH12),AH12,AF$4-(AG$12+AG$13)-SUM(AH$4:AH11)))&lt;0,0,IF(AF$4-(AG$12+AG$13)&gt;SUM(AH$4:AH12),AH12,AF$4-(AG$12+AG$13)-SUM(AH$4:AH11)))</f>
        <v>0</v>
      </c>
      <c r="AJ12" s="216">
        <f t="shared" si="11"/>
        <v>1.6950000000000074</v>
      </c>
    </row>
    <row r="13" spans="2:36" ht="14.65" thickBot="1" x14ac:dyDescent="0.5">
      <c r="B13" s="205" t="s">
        <v>307</v>
      </c>
      <c r="C13" s="186">
        <f>SUMIF(C4:C12,"=1",G4:G12)</f>
        <v>6.4099999999999966</v>
      </c>
      <c r="D13" s="186">
        <f>SUMIF(D4:D12,"=1",G4:G12)</f>
        <v>10.010000000000019</v>
      </c>
      <c r="E13" s="203" t="s">
        <v>331</v>
      </c>
      <c r="F13" s="298">
        <f>HLOOKUP(B2,_1!3:27,22)</f>
        <v>12</v>
      </c>
      <c r="G13" s="183"/>
      <c r="H13" s="186">
        <f>SUMIF(D4:D12,"=1",H4:H12)</f>
        <v>4.1000000000000227</v>
      </c>
      <c r="I13" s="321"/>
      <c r="K13" s="205" t="s">
        <v>307</v>
      </c>
      <c r="L13" s="186">
        <f>SUMIF(L4:L12,"=1",P4:P12)</f>
        <v>8.0100000000000051</v>
      </c>
      <c r="M13" s="186">
        <f>SUMIF(M4:M12,"=1",P4:P12)</f>
        <v>9.2100000000000222</v>
      </c>
      <c r="N13" s="203" t="s">
        <v>331</v>
      </c>
      <c r="O13" s="298">
        <f>HLOOKUP(K2,_1!3:27,22)</f>
        <v>15</v>
      </c>
      <c r="P13" s="183"/>
      <c r="Q13" s="186">
        <f>SUMIF(M4:M12,"=1",Q4:Q12)</f>
        <v>1.6100000000000136</v>
      </c>
      <c r="R13" s="321"/>
      <c r="T13" s="205" t="s">
        <v>307</v>
      </c>
      <c r="U13" s="104">
        <f>SUMIF(U4:U12,"=1",Y4:Y12)</f>
        <v>6.5949999999999847</v>
      </c>
      <c r="V13" s="104">
        <f>SUMIF(V4:V12,"=1",Y4:Y12)</f>
        <v>8.6950000000000074</v>
      </c>
      <c r="W13" s="302" t="s">
        <v>331</v>
      </c>
      <c r="X13" s="298">
        <f>HLOOKUP(T2,_1!3:27,22)</f>
        <v>30</v>
      </c>
      <c r="Y13" s="6"/>
      <c r="Z13" s="208">
        <f ca="1">SUMIF(V4:V13,"=1",Z4:Z12)</f>
        <v>0</v>
      </c>
      <c r="AA13" s="321"/>
      <c r="AC13" s="205" t="s">
        <v>307</v>
      </c>
      <c r="AD13" s="104">
        <f>SUMIF(AD4:AD12,"=1",AH4:AH12)</f>
        <v>10.895000000000024</v>
      </c>
      <c r="AE13" s="104">
        <f>SUMIF(AE4:AE12,"=1",AH4:AH12)</f>
        <v>9.6950000000000358</v>
      </c>
      <c r="AF13" s="302" t="s">
        <v>331</v>
      </c>
      <c r="AG13" s="298">
        <f>HLOOKUP(AC2,_1!3:27,22)</f>
        <v>16</v>
      </c>
      <c r="AH13" s="6"/>
      <c r="AI13" s="208">
        <f ca="1">SUMIF(AE4:AE13,"=1",AI4:AI12)</f>
        <v>0.89500000000001023</v>
      </c>
      <c r="AJ13" s="321"/>
    </row>
    <row r="14" spans="2:36" x14ac:dyDescent="0.45">
      <c r="B14" s="285" t="s">
        <v>308</v>
      </c>
      <c r="C14" s="104">
        <f>SUMIF(C4:C12,"=2",G4:G12)</f>
        <v>10.200000000000017</v>
      </c>
      <c r="D14" s="104">
        <f>SUMIF(D4:D12,"=2",G4:G12)</f>
        <v>1.3999999999999773</v>
      </c>
      <c r="E14" s="114"/>
      <c r="F14" s="114"/>
      <c r="G14" s="129"/>
      <c r="H14" s="104">
        <f>SUMIF(D4:D12,"=2",H4:H12)</f>
        <v>0.50999999999999091</v>
      </c>
      <c r="I14" s="322"/>
      <c r="K14" s="285" t="s">
        <v>308</v>
      </c>
      <c r="L14" s="104">
        <f>SUMIF(L4:L12,"=2",P4:P12)</f>
        <v>8.6000000000000085</v>
      </c>
      <c r="M14" s="104">
        <f>SUMIF(M4:M12,"=2",P4:P12)</f>
        <v>1.7999999999999829</v>
      </c>
      <c r="N14" s="114"/>
      <c r="O14" s="114"/>
      <c r="P14" s="129"/>
      <c r="Q14" s="104">
        <f>SUMIF(M4:M12,"=2",Q4:Q12)</f>
        <v>0</v>
      </c>
      <c r="R14" s="322"/>
      <c r="T14" s="285" t="s">
        <v>308</v>
      </c>
      <c r="U14" s="104">
        <f>SUMIF(U4:U12,"=2",Y4:Y12)</f>
        <v>10.100000000000009</v>
      </c>
      <c r="V14" s="104">
        <f>SUMIF(V4:V12,"=2",Y4:Y12)</f>
        <v>2.1999999999999886</v>
      </c>
      <c r="W14" s="114"/>
      <c r="X14" s="114"/>
      <c r="Y14" s="129"/>
      <c r="Z14" s="104">
        <f ca="1">SUMIF(V4:V13,"=2",Z4:Z12)</f>
        <v>0</v>
      </c>
      <c r="AA14" s="322"/>
      <c r="AC14" s="285" t="s">
        <v>308</v>
      </c>
      <c r="AD14" s="104">
        <f>SUMIF(AD4:AD12,"=2",AH4:AH12)</f>
        <v>5.9999999999999858</v>
      </c>
      <c r="AE14" s="104">
        <f>SUMIF(AE4:AE12,"=2",AH4:AH12)</f>
        <v>1.1999999999999886</v>
      </c>
      <c r="AF14" s="114"/>
      <c r="AG14" s="114"/>
      <c r="AH14" s="129"/>
      <c r="AI14" s="104">
        <f ca="1">SUMIF(AE4:AE13,"=2",AI4:AI12)</f>
        <v>0</v>
      </c>
      <c r="AJ14" s="322"/>
    </row>
    <row r="15" spans="2:36" x14ac:dyDescent="0.45">
      <c r="B15" s="285" t="s">
        <v>309</v>
      </c>
      <c r="C15" s="104"/>
      <c r="D15" s="104">
        <f>SUMIF(D4:D12,"=3",G4:G12)</f>
        <v>2.3000000000000114</v>
      </c>
      <c r="E15" s="114"/>
      <c r="F15" s="114"/>
      <c r="G15" s="129"/>
      <c r="H15" s="104">
        <f>SUMIF(D4:D12,"=3",H4:H12)</f>
        <v>0</v>
      </c>
      <c r="I15" s="322"/>
      <c r="K15" s="285" t="s">
        <v>309</v>
      </c>
      <c r="L15" s="104"/>
      <c r="M15" s="104">
        <f>SUMIF(M4:M12,"=3",P4:P12)</f>
        <v>2.9000000000000057</v>
      </c>
      <c r="N15" s="114"/>
      <c r="O15" s="114"/>
      <c r="P15" s="129"/>
      <c r="Q15" s="104">
        <f>SUMIF(M4:M12,"=3",Q4:Q12)</f>
        <v>0</v>
      </c>
      <c r="R15" s="322"/>
      <c r="T15" s="285" t="s">
        <v>309</v>
      </c>
      <c r="U15" s="104"/>
      <c r="V15" s="104">
        <f>SUMIF(V4:V12,"=3",Y4:Y12)</f>
        <v>2.5999999999999943</v>
      </c>
      <c r="W15" s="114"/>
      <c r="X15" s="114"/>
      <c r="Y15" s="129"/>
      <c r="Z15" s="104">
        <f ca="1">SUMIF(V4:V13,"=3",Z4:Z12)</f>
        <v>0</v>
      </c>
      <c r="AA15" s="322"/>
      <c r="AC15" s="285" t="s">
        <v>309</v>
      </c>
      <c r="AD15" s="104"/>
      <c r="AE15" s="104">
        <f>SUMIF(AE4:AE12,"=3",AH4:AH12)</f>
        <v>2.6999999999999886</v>
      </c>
      <c r="AF15" s="114"/>
      <c r="AG15" s="114"/>
      <c r="AH15" s="129"/>
      <c r="AI15" s="104">
        <f ca="1">SUMIF(AE4:AE13,"=3",AI4:AI12)</f>
        <v>0</v>
      </c>
      <c r="AJ15" s="322"/>
    </row>
    <row r="16" spans="2:36" x14ac:dyDescent="0.45">
      <c r="B16" s="285" t="s">
        <v>310</v>
      </c>
      <c r="C16" s="104"/>
      <c r="D16" s="104">
        <f>SUMIF(D4:D12,"=4",G4:G12)</f>
        <v>0</v>
      </c>
      <c r="E16" s="114"/>
      <c r="F16" s="114"/>
      <c r="G16" s="129"/>
      <c r="H16" s="104">
        <f>SUMIF(D4:D12,"=4",H4:H12)</f>
        <v>0</v>
      </c>
      <c r="I16" s="322"/>
      <c r="K16" s="285" t="s">
        <v>310</v>
      </c>
      <c r="L16" s="104"/>
      <c r="M16" s="104">
        <f>SUMIF(M4:M12,"=4",P4:P12)</f>
        <v>0</v>
      </c>
      <c r="N16" s="114"/>
      <c r="O16" s="114"/>
      <c r="P16" s="129"/>
      <c r="Q16" s="104">
        <f>SUMIF(M4:M12,"=4",Q4:Q12)</f>
        <v>0</v>
      </c>
      <c r="R16" s="322"/>
      <c r="T16" s="285" t="s">
        <v>310</v>
      </c>
      <c r="U16" s="104"/>
      <c r="V16" s="104">
        <f>SUMIF(V4:V12,"=4",Y4:Y12)</f>
        <v>0</v>
      </c>
      <c r="W16" s="114"/>
      <c r="X16" s="114"/>
      <c r="Y16" s="129"/>
      <c r="Z16" s="104">
        <f ca="1">SUMIF(V4:V13,"=4",Z4:Z12)</f>
        <v>0</v>
      </c>
      <c r="AA16" s="322"/>
      <c r="AC16" s="285" t="s">
        <v>310</v>
      </c>
      <c r="AD16" s="104"/>
      <c r="AE16" s="104">
        <f>SUMIF(AE4:AE12,"=4",AH4:AH12)</f>
        <v>0</v>
      </c>
      <c r="AF16" s="114"/>
      <c r="AG16" s="114"/>
      <c r="AH16" s="129"/>
      <c r="AI16" s="104">
        <f ca="1">SUMIF(AE4:AE13,"=4",AI4:AI12)</f>
        <v>0</v>
      </c>
      <c r="AJ16" s="322"/>
    </row>
    <row r="17" spans="1:36" x14ac:dyDescent="0.45">
      <c r="B17" s="285" t="s">
        <v>311</v>
      </c>
      <c r="C17" s="104"/>
      <c r="D17" s="104">
        <f>SUMIF(D4:D12,"=5",G4:G12)</f>
        <v>2.9000000000000057</v>
      </c>
      <c r="E17" s="114"/>
      <c r="F17" s="114"/>
      <c r="G17" s="129"/>
      <c r="H17" s="104">
        <f>SUMIF(D4:D12,"=5",H4:H12)</f>
        <v>0</v>
      </c>
      <c r="I17" s="322"/>
      <c r="K17" s="285" t="s">
        <v>311</v>
      </c>
      <c r="L17" s="104"/>
      <c r="M17" s="104">
        <f>SUMIF(M4:M12,"=5",P4:P12)</f>
        <v>2.7000000000000028</v>
      </c>
      <c r="N17" s="114"/>
      <c r="O17" s="114"/>
      <c r="P17" s="129"/>
      <c r="Q17" s="104">
        <f>SUMIF(M4:M12,"=5",Q4:Q12)</f>
        <v>0</v>
      </c>
      <c r="R17" s="322"/>
      <c r="T17" s="285" t="s">
        <v>311</v>
      </c>
      <c r="U17" s="104"/>
      <c r="V17" s="104">
        <f>SUMIF(V4:V12,"=5",Y4:Y12)</f>
        <v>3.2000000000000028</v>
      </c>
      <c r="W17" s="114"/>
      <c r="X17" s="114"/>
      <c r="Y17" s="129"/>
      <c r="Z17" s="104">
        <f ca="1">SUMIF(V4:V13,"=5",Z4:Z12)</f>
        <v>0</v>
      </c>
      <c r="AA17" s="322"/>
      <c r="AC17" s="285" t="s">
        <v>311</v>
      </c>
      <c r="AD17" s="104"/>
      <c r="AE17" s="104">
        <f>SUMIF(AE4:AE12,"=5",AH4:AH12)</f>
        <v>3.2999999999999972</v>
      </c>
      <c r="AF17" s="114"/>
      <c r="AG17" s="114"/>
      <c r="AH17" s="129"/>
      <c r="AI17" s="104">
        <f ca="1">SUMIF(AE4:AE13,"=5",AI4:AI12)</f>
        <v>0</v>
      </c>
      <c r="AJ17" s="322"/>
    </row>
    <row r="18" spans="1:36" x14ac:dyDescent="0.45">
      <c r="B18" s="285" t="s">
        <v>312</v>
      </c>
      <c r="C18" s="104"/>
      <c r="D18" s="104">
        <f>SUMIF(D4:D12,"=6",G4:G12)</f>
        <v>0</v>
      </c>
      <c r="E18" s="114"/>
      <c r="F18" s="114"/>
      <c r="G18" s="129"/>
      <c r="H18" s="104">
        <f>SUMIF(D4:D12,"=6",H4:H12)</f>
        <v>0</v>
      </c>
      <c r="I18" s="322"/>
      <c r="K18" s="285" t="s">
        <v>312</v>
      </c>
      <c r="L18" s="104"/>
      <c r="M18" s="104">
        <f>SUMIF(M4:M12,"=6",P4:P12)</f>
        <v>0</v>
      </c>
      <c r="N18" s="114"/>
      <c r="O18" s="114"/>
      <c r="P18" s="129"/>
      <c r="Q18" s="104">
        <f>SUMIF(M4:M12,"=6",Q4:Q12)</f>
        <v>0</v>
      </c>
      <c r="R18" s="322"/>
      <c r="T18" s="285" t="s">
        <v>312</v>
      </c>
      <c r="U18" s="104"/>
      <c r="V18" s="104">
        <f>SUMIF(V4:V12,"=6",Y4:Y12)</f>
        <v>0</v>
      </c>
      <c r="W18" s="114"/>
      <c r="X18" s="114"/>
      <c r="Y18" s="129"/>
      <c r="Z18" s="104">
        <f ca="1">SUMIF(V4:V13,"=6",Z4:Z12)</f>
        <v>0</v>
      </c>
      <c r="AA18" s="322"/>
      <c r="AC18" s="285" t="s">
        <v>312</v>
      </c>
      <c r="AD18" s="104"/>
      <c r="AE18" s="104">
        <f>SUMIF(AE4:AE12,"=6",AH4:AH12)</f>
        <v>0</v>
      </c>
      <c r="AF18" s="114"/>
      <c r="AG18" s="114"/>
      <c r="AH18" s="129"/>
      <c r="AI18" s="104">
        <f ca="1">SUMIF(AE4:AE13,"=6",AI4:AI12)</f>
        <v>0</v>
      </c>
      <c r="AJ18" s="322"/>
    </row>
    <row r="19" spans="1:36" ht="14.65" thickBot="1" x14ac:dyDescent="0.5">
      <c r="B19" s="286" t="s">
        <v>313</v>
      </c>
      <c r="C19" s="106"/>
      <c r="D19" s="106">
        <f>SUMIF(D4:D12,"=7",G4:G12)</f>
        <v>0</v>
      </c>
      <c r="E19" s="184"/>
      <c r="F19" s="184"/>
      <c r="G19" s="185"/>
      <c r="H19" s="106">
        <f>SUMIF(D4:D12,"=7",H4:H12)</f>
        <v>0</v>
      </c>
      <c r="I19" s="323"/>
      <c r="K19" s="286" t="s">
        <v>313</v>
      </c>
      <c r="L19" s="106"/>
      <c r="M19" s="106">
        <f>SUMIF(M4:M12,"=7",P4:P12)</f>
        <v>0</v>
      </c>
      <c r="N19" s="184"/>
      <c r="O19" s="184"/>
      <c r="P19" s="185"/>
      <c r="Q19" s="106">
        <f>SUMIF(M4:M12,"=7",Q4:Q12)</f>
        <v>0</v>
      </c>
      <c r="R19" s="323"/>
      <c r="T19" s="286" t="s">
        <v>313</v>
      </c>
      <c r="U19" s="106"/>
      <c r="V19" s="106">
        <f>SUMIF(V4:V12,"=7",Y4:Y12)</f>
        <v>0</v>
      </c>
      <c r="W19" s="184"/>
      <c r="X19" s="184"/>
      <c r="Y19" s="185"/>
      <c r="Z19" s="106">
        <f ca="1">SUMIF(V4:V13,"=7",Z4:Z12)</f>
        <v>0</v>
      </c>
      <c r="AA19" s="323"/>
      <c r="AC19" s="286" t="s">
        <v>313</v>
      </c>
      <c r="AD19" s="106"/>
      <c r="AE19" s="106">
        <f>SUMIF(AE4:AE12,"=7",AH4:AH12)</f>
        <v>0</v>
      </c>
      <c r="AF19" s="184"/>
      <c r="AG19" s="184"/>
      <c r="AH19" s="185"/>
      <c r="AI19" s="106">
        <f ca="1">SUMIF(AE4:AE13,"=7",AI4:AI12)</f>
        <v>0</v>
      </c>
      <c r="AJ19" s="323"/>
    </row>
    <row r="20" spans="1:36" x14ac:dyDescent="0.45">
      <c r="A20" s="400" t="s">
        <v>240</v>
      </c>
      <c r="B20" s="317" t="str">
        <f>ВОР1!B269</f>
        <v>песок рыхлый</v>
      </c>
      <c r="C20" s="318"/>
      <c r="D20" s="318"/>
      <c r="E20" s="318"/>
      <c r="F20" s="318"/>
      <c r="G20" s="318"/>
      <c r="H20" s="318"/>
      <c r="I20" s="6">
        <f>SUMIF(B$4:B$12,B20,I$4:I$12)</f>
        <v>1.9099999999999966</v>
      </c>
      <c r="J20" s="400" t="s">
        <v>240</v>
      </c>
      <c r="K20" s="317" t="str">
        <f t="shared" ref="K20:K65" si="12">B20</f>
        <v>песок рыхлый</v>
      </c>
      <c r="L20" s="318"/>
      <c r="M20" s="318"/>
      <c r="N20" s="318"/>
      <c r="O20" s="318"/>
      <c r="P20" s="318"/>
      <c r="Q20" s="318"/>
      <c r="R20" s="6">
        <f>SUMIF(K$4:K$12,K20,R$4:R$12)</f>
        <v>4.6000000000000085</v>
      </c>
      <c r="S20" s="400" t="s">
        <v>240</v>
      </c>
      <c r="T20" s="324" t="str">
        <f t="shared" ref="T20:T65" si="13">B20</f>
        <v>песок рыхлый</v>
      </c>
      <c r="U20" s="318"/>
      <c r="V20" s="318"/>
      <c r="W20" s="318"/>
      <c r="X20" s="318"/>
      <c r="Y20" s="318"/>
      <c r="Z20" s="325"/>
      <c r="AA20" s="6">
        <f>SUMIF(T$4:T$12,T20,AA$4:AA$12)</f>
        <v>4.394999999999996</v>
      </c>
      <c r="AB20" s="400" t="s">
        <v>240</v>
      </c>
      <c r="AC20" s="324" t="str">
        <f t="shared" ref="AC20:AC65" si="14">B20</f>
        <v>песок рыхлый</v>
      </c>
      <c r="AD20" s="318"/>
      <c r="AE20" s="318"/>
      <c r="AF20" s="318"/>
      <c r="AG20" s="318"/>
      <c r="AH20" s="318"/>
      <c r="AI20" s="325"/>
      <c r="AJ20" s="6">
        <f>SUMIF(AC$4:AC$12,AC20,AJ$4:AJ$12)</f>
        <v>8.8000000000000256</v>
      </c>
    </row>
    <row r="21" spans="1:36" x14ac:dyDescent="0.45">
      <c r="A21" s="401"/>
      <c r="B21" s="199" t="str">
        <f>ВОР1!B270</f>
        <v>песок другой</v>
      </c>
      <c r="I21" s="8">
        <f>SUMIF(B$4:B$12,B21,I$4:I$12)</f>
        <v>4</v>
      </c>
      <c r="J21" s="401"/>
      <c r="K21" s="199" t="str">
        <f t="shared" si="12"/>
        <v>песок другой</v>
      </c>
      <c r="R21" s="8">
        <f>SUMIF(K$4:K$12,K21,R$4:R$12)</f>
        <v>3</v>
      </c>
      <c r="S21" s="401"/>
      <c r="T21" s="132" t="str">
        <f t="shared" si="13"/>
        <v>песок другой</v>
      </c>
      <c r="Z21" s="327"/>
      <c r="AA21" s="8">
        <f>SUMIF(T$4:T$12,T21,AA$4:AA$12)</f>
        <v>4.3000000000000114</v>
      </c>
      <c r="AB21" s="401"/>
      <c r="AC21" s="132" t="str">
        <f t="shared" si="14"/>
        <v>песок другой</v>
      </c>
      <c r="AI21" s="327"/>
      <c r="AJ21" s="8">
        <f>SUMIF(AC$4:AC$12,AC21,AJ$4:AJ$12)</f>
        <v>0</v>
      </c>
    </row>
    <row r="22" spans="1:36" x14ac:dyDescent="0.45">
      <c r="A22" s="401"/>
      <c r="B22" s="199" t="str">
        <f>ВОР1!B271</f>
        <v>песок пылеватый водонасыщенный</v>
      </c>
      <c r="I22" s="8">
        <f t="shared" ref="I22:I65" si="15">SUMIF(B$4:B$12,B22,I$4:I$12)</f>
        <v>0</v>
      </c>
      <c r="J22" s="401"/>
      <c r="K22" s="199" t="str">
        <f t="shared" si="12"/>
        <v>песок пылеватый водонасыщенный</v>
      </c>
      <c r="R22" s="8">
        <f t="shared" ref="R22:R65" si="16">SUMIF(K$4:K$12,K22,R$4:R$12)</f>
        <v>0</v>
      </c>
      <c r="S22" s="401"/>
      <c r="T22" s="132" t="str">
        <f t="shared" si="13"/>
        <v>песок пылеватый водонасыщенный</v>
      </c>
      <c r="Z22" s="327"/>
      <c r="AA22" s="8">
        <f t="shared" ref="AA22:AA65" si="17">SUMIF(T$4:T$12,T22,AA$4:AA$12)</f>
        <v>0</v>
      </c>
      <c r="AB22" s="401"/>
      <c r="AC22" s="132" t="str">
        <f t="shared" si="14"/>
        <v>песок пылеватый водонасыщенный</v>
      </c>
      <c r="AI22" s="327"/>
      <c r="AJ22" s="8">
        <f t="shared" ref="AJ22:AJ65" si="18">SUMIF(AC$4:AC$12,AC22,AJ$4:AJ$12)</f>
        <v>0</v>
      </c>
    </row>
    <row r="23" spans="1:36" x14ac:dyDescent="0.45">
      <c r="A23" s="401"/>
      <c r="B23" s="199" t="str">
        <f>ВОР1!B272</f>
        <v>суглинок мягкопластичный</v>
      </c>
      <c r="I23" s="8">
        <f t="shared" si="15"/>
        <v>0</v>
      </c>
      <c r="J23" s="401"/>
      <c r="K23" s="199" t="str">
        <f t="shared" si="12"/>
        <v>суглинок мягкопластичный</v>
      </c>
      <c r="R23" s="8">
        <f t="shared" si="16"/>
        <v>0</v>
      </c>
      <c r="S23" s="401"/>
      <c r="T23" s="132" t="str">
        <f t="shared" si="13"/>
        <v>суглинок мягкопластичный</v>
      </c>
      <c r="Z23" s="327"/>
      <c r="AA23" s="8">
        <f t="shared" si="17"/>
        <v>0</v>
      </c>
      <c r="AB23" s="401"/>
      <c r="AC23" s="132" t="str">
        <f t="shared" si="14"/>
        <v>суглинок мягкопластичный</v>
      </c>
      <c r="AI23" s="327"/>
      <c r="AJ23" s="8">
        <f t="shared" si="18"/>
        <v>0</v>
      </c>
    </row>
    <row r="24" spans="1:36" x14ac:dyDescent="0.45">
      <c r="A24" s="401"/>
      <c r="B24" s="199" t="str">
        <f>ВОР1!B273</f>
        <v>супесь пластичная</v>
      </c>
      <c r="I24" s="8">
        <f t="shared" si="15"/>
        <v>0</v>
      </c>
      <c r="J24" s="401"/>
      <c r="K24" s="199" t="str">
        <f t="shared" si="12"/>
        <v>супесь пластичная</v>
      </c>
      <c r="R24" s="8">
        <f t="shared" si="16"/>
        <v>0</v>
      </c>
      <c r="S24" s="401"/>
      <c r="T24" s="132" t="str">
        <f t="shared" si="13"/>
        <v>супесь пластичная</v>
      </c>
      <c r="Z24" s="327"/>
      <c r="AA24" s="8">
        <f t="shared" si="17"/>
        <v>0</v>
      </c>
      <c r="AB24" s="401"/>
      <c r="AC24" s="132" t="str">
        <f t="shared" si="14"/>
        <v>супесь пластичная</v>
      </c>
      <c r="AI24" s="327"/>
      <c r="AJ24" s="8">
        <f t="shared" si="18"/>
        <v>0</v>
      </c>
    </row>
    <row r="25" spans="1:36" x14ac:dyDescent="0.45">
      <c r="A25" s="401"/>
      <c r="B25" s="199" t="str">
        <f>ВОР1!B274</f>
        <v>ил</v>
      </c>
      <c r="I25" s="8">
        <f t="shared" si="15"/>
        <v>0</v>
      </c>
      <c r="J25" s="401"/>
      <c r="K25" s="199" t="str">
        <f t="shared" si="12"/>
        <v>ил</v>
      </c>
      <c r="R25" s="8">
        <f t="shared" si="16"/>
        <v>0</v>
      </c>
      <c r="S25" s="401"/>
      <c r="T25" s="132" t="str">
        <f t="shared" si="13"/>
        <v>ил</v>
      </c>
      <c r="Z25" s="327"/>
      <c r="AA25" s="8">
        <f t="shared" si="17"/>
        <v>0</v>
      </c>
      <c r="AB25" s="401"/>
      <c r="AC25" s="132" t="str">
        <f t="shared" si="14"/>
        <v>ил</v>
      </c>
      <c r="AI25" s="327"/>
      <c r="AJ25" s="8">
        <f t="shared" si="18"/>
        <v>0</v>
      </c>
    </row>
    <row r="26" spans="1:36" ht="14.65" thickBot="1" x14ac:dyDescent="0.5">
      <c r="A26" s="402"/>
      <c r="B26" s="319" t="str">
        <f>ВОР1!B275</f>
        <v>торф без корней</v>
      </c>
      <c r="C26" s="320"/>
      <c r="D26" s="320"/>
      <c r="E26" s="320"/>
      <c r="F26" s="320"/>
      <c r="G26" s="320"/>
      <c r="H26" s="320"/>
      <c r="I26" s="13">
        <f t="shared" si="15"/>
        <v>0</v>
      </c>
      <c r="J26" s="402"/>
      <c r="K26" s="319" t="str">
        <f t="shared" si="12"/>
        <v>торф без корней</v>
      </c>
      <c r="L26" s="320"/>
      <c r="M26" s="320"/>
      <c r="N26" s="320"/>
      <c r="O26" s="320"/>
      <c r="P26" s="320"/>
      <c r="Q26" s="320"/>
      <c r="R26" s="13">
        <f t="shared" si="16"/>
        <v>0</v>
      </c>
      <c r="S26" s="401"/>
      <c r="T26" s="132" t="str">
        <f t="shared" si="13"/>
        <v>торф без корней</v>
      </c>
      <c r="Z26" s="327"/>
      <c r="AA26" s="8">
        <f t="shared" si="17"/>
        <v>0</v>
      </c>
      <c r="AB26" s="402"/>
      <c r="AC26" s="132" t="str">
        <f t="shared" si="14"/>
        <v>торф без корней</v>
      </c>
      <c r="AI26" s="327"/>
      <c r="AJ26" s="13">
        <f t="shared" si="18"/>
        <v>0</v>
      </c>
    </row>
    <row r="27" spans="1:36" x14ac:dyDescent="0.45">
      <c r="A27" s="400" t="s">
        <v>317</v>
      </c>
      <c r="B27" s="317" t="str">
        <f>ВОР1!B276</f>
        <v>песок слабоцемент. с щебнем до 20%</v>
      </c>
      <c r="C27" s="318"/>
      <c r="D27" s="318"/>
      <c r="E27" s="318"/>
      <c r="F27" s="318"/>
      <c r="G27" s="318"/>
      <c r="H27" s="318"/>
      <c r="I27" s="6">
        <f t="shared" si="15"/>
        <v>0</v>
      </c>
      <c r="J27" s="400" t="s">
        <v>317</v>
      </c>
      <c r="K27" s="317" t="str">
        <f t="shared" si="12"/>
        <v>песок слабоцемент. с щебнем до 20%</v>
      </c>
      <c r="L27" s="318"/>
      <c r="M27" s="318"/>
      <c r="N27" s="318"/>
      <c r="O27" s="318"/>
      <c r="P27" s="318"/>
      <c r="Q27" s="318"/>
      <c r="R27" s="6">
        <f t="shared" si="16"/>
        <v>0</v>
      </c>
      <c r="S27" s="400" t="s">
        <v>317</v>
      </c>
      <c r="T27" s="324" t="str">
        <f t="shared" si="13"/>
        <v>песок слабоцемент. с щебнем до 20%</v>
      </c>
      <c r="U27" s="318"/>
      <c r="V27" s="318"/>
      <c r="W27" s="318"/>
      <c r="X27" s="318"/>
      <c r="Y27" s="318"/>
      <c r="Z27" s="325"/>
      <c r="AA27" s="6">
        <f t="shared" si="17"/>
        <v>0</v>
      </c>
      <c r="AB27" s="400" t="s">
        <v>317</v>
      </c>
      <c r="AC27" s="324" t="str">
        <f t="shared" si="14"/>
        <v>песок слабоцемент. с щебнем до 20%</v>
      </c>
      <c r="AD27" s="318"/>
      <c r="AE27" s="318"/>
      <c r="AF27" s="318"/>
      <c r="AG27" s="318"/>
      <c r="AH27" s="318"/>
      <c r="AI27" s="325"/>
      <c r="AJ27" s="6">
        <f t="shared" si="18"/>
        <v>0</v>
      </c>
    </row>
    <row r="28" spans="1:36" x14ac:dyDescent="0.45">
      <c r="A28" s="401"/>
      <c r="B28" s="199" t="str">
        <f>ВОР1!B277</f>
        <v>суглинок тугопластичный до 10% щебня</v>
      </c>
      <c r="I28" s="8">
        <f t="shared" si="15"/>
        <v>0.88999999999998636</v>
      </c>
      <c r="J28" s="401"/>
      <c r="K28" s="199" t="str">
        <f t="shared" si="12"/>
        <v>суглинок тугопластичный до 10% щебня</v>
      </c>
      <c r="R28" s="8">
        <f t="shared" si="16"/>
        <v>1.7999999999999829</v>
      </c>
      <c r="S28" s="401"/>
      <c r="T28" s="132" t="str">
        <f t="shared" si="13"/>
        <v>суглинок тугопластичный до 10% щебня</v>
      </c>
      <c r="Z28" s="327"/>
      <c r="AA28" s="8">
        <f t="shared" si="17"/>
        <v>2.1999999999999886</v>
      </c>
      <c r="AB28" s="401"/>
      <c r="AC28" s="132" t="str">
        <f t="shared" si="14"/>
        <v>суглинок тугопластичный до 10% щебня</v>
      </c>
      <c r="AI28" s="327"/>
      <c r="AJ28" s="8">
        <f t="shared" si="18"/>
        <v>1.1999999999999886</v>
      </c>
    </row>
    <row r="29" spans="1:36" x14ac:dyDescent="0.45">
      <c r="A29" s="401"/>
      <c r="B29" s="199" t="str">
        <f>ВОР1!B278</f>
        <v>суглинок тугопластичный 10-20% щебня</v>
      </c>
      <c r="I29" s="8">
        <f t="shared" si="15"/>
        <v>0</v>
      </c>
      <c r="J29" s="401"/>
      <c r="K29" s="199" t="str">
        <f t="shared" si="12"/>
        <v>суглинок тугопластичный 10-20% щебня</v>
      </c>
      <c r="R29" s="8">
        <f t="shared" si="16"/>
        <v>0</v>
      </c>
      <c r="S29" s="401"/>
      <c r="T29" s="132" t="str">
        <f t="shared" si="13"/>
        <v>суглинок тугопластичный 10-20% щебня</v>
      </c>
      <c r="Z29" s="327"/>
      <c r="AA29" s="8">
        <f t="shared" si="17"/>
        <v>0</v>
      </c>
      <c r="AB29" s="401"/>
      <c r="AC29" s="132" t="str">
        <f t="shared" si="14"/>
        <v>суглинок тугопластичный 10-20% щебня</v>
      </c>
      <c r="AI29" s="327"/>
      <c r="AJ29" s="8">
        <f t="shared" si="18"/>
        <v>0</v>
      </c>
    </row>
    <row r="30" spans="1:36" x14ac:dyDescent="0.45">
      <c r="A30" s="401"/>
      <c r="B30" s="199" t="str">
        <f>ВОР1!B279</f>
        <v>супесь пластичная, водонасыщенная до 10% щебня</v>
      </c>
      <c r="I30" s="8">
        <f t="shared" si="15"/>
        <v>0</v>
      </c>
      <c r="J30" s="401"/>
      <c r="K30" s="199" t="str">
        <f t="shared" si="12"/>
        <v>супесь пластичная, водонасыщенная до 10% щебня</v>
      </c>
      <c r="R30" s="8">
        <f t="shared" si="16"/>
        <v>0</v>
      </c>
      <c r="S30" s="401"/>
      <c r="T30" s="132" t="str">
        <f t="shared" si="13"/>
        <v>супесь пластичная, водонасыщенная до 10% щебня</v>
      </c>
      <c r="Z30" s="327"/>
      <c r="AA30" s="8">
        <f t="shared" si="17"/>
        <v>0</v>
      </c>
      <c r="AB30" s="401"/>
      <c r="AC30" s="132" t="str">
        <f t="shared" si="14"/>
        <v>супесь пластичная, водонасыщенная до 10% щебня</v>
      </c>
      <c r="AI30" s="327"/>
      <c r="AJ30" s="8">
        <f t="shared" si="18"/>
        <v>0</v>
      </c>
    </row>
    <row r="31" spans="1:36" x14ac:dyDescent="0.45">
      <c r="A31" s="401"/>
      <c r="B31" s="199" t="str">
        <f>ВОР1!B280</f>
        <v>супесь пластичная, водонасыщенная до 20% щебня</v>
      </c>
      <c r="I31" s="8">
        <f t="shared" si="15"/>
        <v>0</v>
      </c>
      <c r="J31" s="401"/>
      <c r="K31" s="199" t="str">
        <f t="shared" si="12"/>
        <v>супесь пластичная, водонасыщенная до 20% щебня</v>
      </c>
      <c r="R31" s="8">
        <f t="shared" si="16"/>
        <v>0</v>
      </c>
      <c r="S31" s="401"/>
      <c r="T31" s="132" t="str">
        <f t="shared" si="13"/>
        <v>супесь пластичная, водонасыщенная до 20% щебня</v>
      </c>
      <c r="Z31" s="327"/>
      <c r="AA31" s="8">
        <f t="shared" si="17"/>
        <v>0</v>
      </c>
      <c r="AB31" s="401"/>
      <c r="AC31" s="132" t="str">
        <f t="shared" si="14"/>
        <v>супесь пластичная, водонасыщенная до 20% щебня</v>
      </c>
      <c r="AI31" s="327"/>
      <c r="AJ31" s="8">
        <f t="shared" si="18"/>
        <v>0</v>
      </c>
    </row>
    <row r="32" spans="1:36" x14ac:dyDescent="0.45">
      <c r="A32" s="401"/>
      <c r="B32" s="199" t="str">
        <f>ВОР1!B281</f>
        <v>глина мягкая, тугопластичная</v>
      </c>
      <c r="I32" s="8">
        <f t="shared" si="15"/>
        <v>0</v>
      </c>
      <c r="J32" s="401"/>
      <c r="K32" s="199" t="str">
        <f t="shared" si="12"/>
        <v>глина мягкая, тугопластичная</v>
      </c>
      <c r="R32" s="8">
        <f t="shared" si="16"/>
        <v>0</v>
      </c>
      <c r="S32" s="401"/>
      <c r="T32" s="132" t="str">
        <f t="shared" si="13"/>
        <v>глина мягкая, тугопластичная</v>
      </c>
      <c r="Z32" s="327"/>
      <c r="AA32" s="8">
        <f t="shared" si="17"/>
        <v>0</v>
      </c>
      <c r="AB32" s="401"/>
      <c r="AC32" s="132" t="str">
        <f t="shared" si="14"/>
        <v>глина мягкая, тугопластичная</v>
      </c>
      <c r="AI32" s="327"/>
      <c r="AJ32" s="8">
        <f t="shared" si="18"/>
        <v>0</v>
      </c>
    </row>
    <row r="33" spans="1:36" ht="14.65" thickBot="1" x14ac:dyDescent="0.5">
      <c r="A33" s="402"/>
      <c r="B33" s="319" t="str">
        <f>ВОР1!B282</f>
        <v>торф с корнями, до 10% щебня</v>
      </c>
      <c r="C33" s="320"/>
      <c r="D33" s="320"/>
      <c r="E33" s="320"/>
      <c r="F33" s="320"/>
      <c r="G33" s="320"/>
      <c r="H33" s="320"/>
      <c r="I33" s="13">
        <f t="shared" si="15"/>
        <v>0</v>
      </c>
      <c r="J33" s="402"/>
      <c r="K33" s="319" t="str">
        <f t="shared" si="12"/>
        <v>торф с корнями, до 10% щебня</v>
      </c>
      <c r="L33" s="320"/>
      <c r="M33" s="320"/>
      <c r="N33" s="320"/>
      <c r="O33" s="320"/>
      <c r="P33" s="320"/>
      <c r="Q33" s="320"/>
      <c r="R33" s="13">
        <f t="shared" si="16"/>
        <v>0</v>
      </c>
      <c r="S33" s="402"/>
      <c r="T33" s="149" t="str">
        <f t="shared" si="13"/>
        <v>торф с корнями, до 10% щебня</v>
      </c>
      <c r="U33" s="320"/>
      <c r="V33" s="320"/>
      <c r="W33" s="320"/>
      <c r="X33" s="320"/>
      <c r="Y33" s="320"/>
      <c r="Z33" s="326"/>
      <c r="AA33" s="13">
        <f t="shared" si="17"/>
        <v>0</v>
      </c>
      <c r="AB33" s="402"/>
      <c r="AC33" s="149" t="str">
        <f t="shared" si="14"/>
        <v>торф с корнями, до 10% щебня</v>
      </c>
      <c r="AD33" s="320"/>
      <c r="AE33" s="320"/>
      <c r="AF33" s="320"/>
      <c r="AG33" s="320"/>
      <c r="AH33" s="320"/>
      <c r="AI33" s="326"/>
      <c r="AJ33" s="13">
        <f t="shared" si="18"/>
        <v>0</v>
      </c>
    </row>
    <row r="34" spans="1:36" x14ac:dyDescent="0.45">
      <c r="A34" s="400" t="s">
        <v>318</v>
      </c>
      <c r="B34" s="317" t="str">
        <f>ВОР1!B283</f>
        <v>песок с щебнем 20-30%</v>
      </c>
      <c r="C34" s="318"/>
      <c r="D34" s="318"/>
      <c r="E34" s="318"/>
      <c r="F34" s="318"/>
      <c r="G34" s="318"/>
      <c r="H34" s="318"/>
      <c r="I34" s="6">
        <f t="shared" si="15"/>
        <v>0</v>
      </c>
      <c r="J34" s="400" t="s">
        <v>318</v>
      </c>
      <c r="K34" s="317" t="str">
        <f t="shared" si="12"/>
        <v>песок с щебнем 20-30%</v>
      </c>
      <c r="L34" s="318"/>
      <c r="M34" s="318"/>
      <c r="N34" s="318"/>
      <c r="O34" s="318"/>
      <c r="P34" s="318"/>
      <c r="Q34" s="318"/>
      <c r="R34" s="6">
        <f t="shared" si="16"/>
        <v>0</v>
      </c>
      <c r="S34" s="401" t="s">
        <v>318</v>
      </c>
      <c r="T34" s="132" t="str">
        <f t="shared" si="13"/>
        <v>песок с щебнем 20-30%</v>
      </c>
      <c r="Z34" s="327"/>
      <c r="AA34" s="8">
        <f t="shared" si="17"/>
        <v>0</v>
      </c>
      <c r="AB34" s="400" t="s">
        <v>318</v>
      </c>
      <c r="AC34" s="132" t="str">
        <f t="shared" si="14"/>
        <v>песок с щебнем 20-30%</v>
      </c>
      <c r="AI34" s="327"/>
      <c r="AJ34" s="6">
        <f t="shared" si="18"/>
        <v>0</v>
      </c>
    </row>
    <row r="35" spans="1:36" x14ac:dyDescent="0.45">
      <c r="A35" s="401"/>
      <c r="B35" s="199" t="str">
        <f>ВОР1!B284</f>
        <v>суглинок тугопластичный более 20% щебня</v>
      </c>
      <c r="I35" s="8">
        <f t="shared" si="15"/>
        <v>0</v>
      </c>
      <c r="J35" s="401"/>
      <c r="K35" s="199" t="str">
        <f t="shared" si="12"/>
        <v>суглинок тугопластичный более 20% щебня</v>
      </c>
      <c r="R35" s="8">
        <f t="shared" si="16"/>
        <v>0</v>
      </c>
      <c r="S35" s="401"/>
      <c r="T35" s="132" t="str">
        <f t="shared" si="13"/>
        <v>суглинок тугопластичный более 20% щебня</v>
      </c>
      <c r="Z35" s="327"/>
      <c r="AA35" s="8">
        <f t="shared" si="17"/>
        <v>0</v>
      </c>
      <c r="AB35" s="401"/>
      <c r="AC35" s="132" t="str">
        <f t="shared" si="14"/>
        <v>суглинок тугопластичный более 20% щебня</v>
      </c>
      <c r="AI35" s="327"/>
      <c r="AJ35" s="8">
        <f t="shared" si="18"/>
        <v>0</v>
      </c>
    </row>
    <row r="36" spans="1:36" x14ac:dyDescent="0.45">
      <c r="A36" s="401"/>
      <c r="B36" s="199" t="str">
        <f>ВОР1!B285</f>
        <v>суглинок полутвердый, твердый</v>
      </c>
      <c r="I36" s="8">
        <f t="shared" si="15"/>
        <v>0</v>
      </c>
      <c r="J36" s="401"/>
      <c r="K36" s="199" t="str">
        <f t="shared" si="12"/>
        <v>суглинок полутвердый, твердый</v>
      </c>
      <c r="R36" s="8">
        <f t="shared" si="16"/>
        <v>0</v>
      </c>
      <c r="S36" s="401"/>
      <c r="T36" s="132" t="str">
        <f t="shared" si="13"/>
        <v>суглинок полутвердый, твердый</v>
      </c>
      <c r="Z36" s="327"/>
      <c r="AA36" s="8">
        <f t="shared" si="17"/>
        <v>0</v>
      </c>
      <c r="AB36" s="401"/>
      <c r="AC36" s="132" t="str">
        <f t="shared" si="14"/>
        <v>суглинок полутвердый, твердый</v>
      </c>
      <c r="AI36" s="327"/>
      <c r="AJ36" s="8">
        <f t="shared" si="18"/>
        <v>0</v>
      </c>
    </row>
    <row r="37" spans="1:36" x14ac:dyDescent="0.45">
      <c r="A37" s="401"/>
      <c r="B37" s="199" t="str">
        <f>ВОР1!B286</f>
        <v>супесь пластичная с валунами</v>
      </c>
      <c r="I37" s="8">
        <f t="shared" si="15"/>
        <v>0</v>
      </c>
      <c r="J37" s="401"/>
      <c r="K37" s="199" t="str">
        <f t="shared" si="12"/>
        <v>супесь пластичная с валунами</v>
      </c>
      <c r="R37" s="8">
        <f t="shared" si="16"/>
        <v>0</v>
      </c>
      <c r="S37" s="401"/>
      <c r="T37" s="132" t="str">
        <f t="shared" si="13"/>
        <v>супесь пластичная с валунами</v>
      </c>
      <c r="Z37" s="327"/>
      <c r="AA37" s="8">
        <f t="shared" si="17"/>
        <v>0</v>
      </c>
      <c r="AB37" s="401"/>
      <c r="AC37" s="132" t="str">
        <f t="shared" si="14"/>
        <v>супесь пластичная с валунами</v>
      </c>
      <c r="AI37" s="327"/>
      <c r="AJ37" s="8">
        <f t="shared" si="18"/>
        <v>0</v>
      </c>
    </row>
    <row r="38" spans="1:36" x14ac:dyDescent="0.45">
      <c r="A38" s="401"/>
      <c r="B38" s="199" t="str">
        <f>ВОР1!B287</f>
        <v>супесь твердая</v>
      </c>
      <c r="I38" s="8">
        <f t="shared" si="15"/>
        <v>0</v>
      </c>
      <c r="J38" s="401"/>
      <c r="K38" s="199" t="str">
        <f t="shared" si="12"/>
        <v>супесь твердая</v>
      </c>
      <c r="R38" s="8">
        <f t="shared" si="16"/>
        <v>0</v>
      </c>
      <c r="S38" s="401"/>
      <c r="T38" s="132" t="str">
        <f t="shared" si="13"/>
        <v>супесь твердая</v>
      </c>
      <c r="Z38" s="327"/>
      <c r="AA38" s="8">
        <f t="shared" si="17"/>
        <v>0</v>
      </c>
      <c r="AB38" s="401"/>
      <c r="AC38" s="132" t="str">
        <f t="shared" si="14"/>
        <v>супесь твердая</v>
      </c>
      <c r="AI38" s="327"/>
      <c r="AJ38" s="8">
        <f t="shared" si="18"/>
        <v>0</v>
      </c>
    </row>
    <row r="39" spans="1:36" x14ac:dyDescent="0.45">
      <c r="A39" s="401"/>
      <c r="B39" s="199" t="str">
        <f>ВОР1!B288</f>
        <v>глина мягкопластичная</v>
      </c>
      <c r="I39" s="8">
        <f t="shared" si="15"/>
        <v>0</v>
      </c>
      <c r="J39" s="401"/>
      <c r="K39" s="199" t="str">
        <f t="shared" si="12"/>
        <v>глина мягкопластичная</v>
      </c>
      <c r="R39" s="8">
        <f t="shared" si="16"/>
        <v>0</v>
      </c>
      <c r="S39" s="401"/>
      <c r="T39" s="132" t="str">
        <f t="shared" si="13"/>
        <v>глина мягкопластичная</v>
      </c>
      <c r="Z39" s="327"/>
      <c r="AA39" s="8">
        <f t="shared" si="17"/>
        <v>0</v>
      </c>
      <c r="AB39" s="401"/>
      <c r="AC39" s="132" t="str">
        <f t="shared" si="14"/>
        <v>глина мягкопластичная</v>
      </c>
      <c r="AI39" s="327"/>
      <c r="AJ39" s="8">
        <f t="shared" si="18"/>
        <v>0</v>
      </c>
    </row>
    <row r="40" spans="1:36" x14ac:dyDescent="0.45">
      <c r="A40" s="401"/>
      <c r="B40" s="199" t="str">
        <f>ВОР1!B289</f>
        <v>глина полутвердая</v>
      </c>
      <c r="I40" s="8">
        <f t="shared" si="15"/>
        <v>2.3000000000000114</v>
      </c>
      <c r="J40" s="401"/>
      <c r="K40" s="199" t="str">
        <f t="shared" si="12"/>
        <v>глина полутвердая</v>
      </c>
      <c r="R40" s="8">
        <f t="shared" si="16"/>
        <v>2.9000000000000057</v>
      </c>
      <c r="S40" s="401"/>
      <c r="T40" s="132" t="str">
        <f t="shared" si="13"/>
        <v>глина полутвердая</v>
      </c>
      <c r="Z40" s="327"/>
      <c r="AA40" s="8">
        <f t="shared" si="17"/>
        <v>2.5999999999999943</v>
      </c>
      <c r="AB40" s="401"/>
      <c r="AC40" s="132" t="str">
        <f t="shared" si="14"/>
        <v>глина полутвердая</v>
      </c>
      <c r="AI40" s="327"/>
      <c r="AJ40" s="8">
        <f t="shared" si="18"/>
        <v>2.6999999999999886</v>
      </c>
    </row>
    <row r="41" spans="1:36" x14ac:dyDescent="0.45">
      <c r="A41" s="401"/>
      <c r="B41" s="199" t="str">
        <f>ВОР1!B290</f>
        <v>мергель низкой прочности</v>
      </c>
      <c r="I41" s="8">
        <f t="shared" si="15"/>
        <v>0</v>
      </c>
      <c r="J41" s="401"/>
      <c r="K41" s="199" t="str">
        <f t="shared" si="12"/>
        <v>мергель низкой прочности</v>
      </c>
      <c r="R41" s="8">
        <f t="shared" si="16"/>
        <v>0</v>
      </c>
      <c r="S41" s="401"/>
      <c r="T41" s="132" t="str">
        <f t="shared" si="13"/>
        <v>мергель низкой прочности</v>
      </c>
      <c r="Z41" s="327"/>
      <c r="AA41" s="8">
        <f t="shared" si="17"/>
        <v>0</v>
      </c>
      <c r="AB41" s="401"/>
      <c r="AC41" s="132" t="str">
        <f t="shared" si="14"/>
        <v>мергель низкой прочности</v>
      </c>
      <c r="AI41" s="327"/>
      <c r="AJ41" s="8">
        <f t="shared" si="18"/>
        <v>0</v>
      </c>
    </row>
    <row r="42" spans="1:36" ht="14.65" thickBot="1" x14ac:dyDescent="0.5">
      <c r="A42" s="402"/>
      <c r="B42" s="319" t="str">
        <f>ВОР1!B291</f>
        <v>торф  с щебнем более 10%</v>
      </c>
      <c r="C42" s="320"/>
      <c r="D42" s="320"/>
      <c r="E42" s="320"/>
      <c r="F42" s="320"/>
      <c r="G42" s="320"/>
      <c r="H42" s="320"/>
      <c r="I42" s="13">
        <f t="shared" si="15"/>
        <v>0</v>
      </c>
      <c r="J42" s="402"/>
      <c r="K42" s="319" t="str">
        <f t="shared" si="12"/>
        <v>торф  с щебнем более 10%</v>
      </c>
      <c r="L42" s="320"/>
      <c r="M42" s="320"/>
      <c r="N42" s="320"/>
      <c r="O42" s="320"/>
      <c r="P42" s="320"/>
      <c r="Q42" s="320"/>
      <c r="R42" s="13">
        <f t="shared" si="16"/>
        <v>0</v>
      </c>
      <c r="S42" s="401"/>
      <c r="T42" s="132" t="str">
        <f t="shared" si="13"/>
        <v>торф  с щебнем более 10%</v>
      </c>
      <c r="Z42" s="327"/>
      <c r="AA42" s="8">
        <f t="shared" si="17"/>
        <v>0</v>
      </c>
      <c r="AB42" s="402"/>
      <c r="AC42" s="149" t="str">
        <f t="shared" si="14"/>
        <v>торф  с щебнем более 10%</v>
      </c>
      <c r="AD42" s="320"/>
      <c r="AE42" s="320"/>
      <c r="AF42" s="320"/>
      <c r="AG42" s="320"/>
      <c r="AH42" s="320"/>
      <c r="AI42" s="326"/>
      <c r="AJ42" s="13">
        <f t="shared" si="18"/>
        <v>0</v>
      </c>
    </row>
    <row r="43" spans="1:36" x14ac:dyDescent="0.45">
      <c r="A43" s="400" t="s">
        <v>319</v>
      </c>
      <c r="B43" s="317" t="str">
        <f>ВОР1!B292</f>
        <v>песок с щебнем более 30%</v>
      </c>
      <c r="C43" s="318"/>
      <c r="D43" s="318"/>
      <c r="E43" s="318"/>
      <c r="F43" s="318"/>
      <c r="G43" s="318"/>
      <c r="H43" s="318"/>
      <c r="I43" s="6">
        <f t="shared" si="15"/>
        <v>0</v>
      </c>
      <c r="J43" s="400" t="s">
        <v>319</v>
      </c>
      <c r="K43" s="317" t="str">
        <f t="shared" si="12"/>
        <v>песок с щебнем более 30%</v>
      </c>
      <c r="L43" s="318"/>
      <c r="M43" s="318"/>
      <c r="N43" s="318"/>
      <c r="O43" s="318"/>
      <c r="P43" s="318"/>
      <c r="Q43" s="318"/>
      <c r="R43" s="6">
        <f t="shared" si="16"/>
        <v>0</v>
      </c>
      <c r="S43" s="400" t="s">
        <v>319</v>
      </c>
      <c r="T43" s="324" t="str">
        <f t="shared" si="13"/>
        <v>песок с щебнем более 30%</v>
      </c>
      <c r="U43" s="318"/>
      <c r="V43" s="318"/>
      <c r="W43" s="318"/>
      <c r="X43" s="318"/>
      <c r="Y43" s="318"/>
      <c r="Z43" s="325"/>
      <c r="AA43" s="6">
        <f t="shared" si="17"/>
        <v>0</v>
      </c>
      <c r="AB43" s="400" t="s">
        <v>319</v>
      </c>
      <c r="AC43" s="324" t="str">
        <f t="shared" si="14"/>
        <v>песок с щебнем более 30%</v>
      </c>
      <c r="AD43" s="318"/>
      <c r="AE43" s="318"/>
      <c r="AF43" s="318"/>
      <c r="AG43" s="318"/>
      <c r="AH43" s="318"/>
      <c r="AI43" s="325"/>
      <c r="AJ43" s="6">
        <f t="shared" si="18"/>
        <v>0</v>
      </c>
    </row>
    <row r="44" spans="1:36" x14ac:dyDescent="0.45">
      <c r="A44" s="401"/>
      <c r="B44" s="199" t="str">
        <f>ВОР1!B293</f>
        <v>суглинок с валунами</v>
      </c>
      <c r="I44" s="8">
        <f t="shared" si="15"/>
        <v>0</v>
      </c>
      <c r="J44" s="401"/>
      <c r="K44" s="199" t="str">
        <f t="shared" si="12"/>
        <v>суглинок с валунами</v>
      </c>
      <c r="R44" s="8">
        <f t="shared" si="16"/>
        <v>0</v>
      </c>
      <c r="S44" s="401"/>
      <c r="T44" s="132" t="str">
        <f t="shared" si="13"/>
        <v>суглинок с валунами</v>
      </c>
      <c r="Z44" s="327"/>
      <c r="AA44" s="8">
        <f t="shared" si="17"/>
        <v>0</v>
      </c>
      <c r="AB44" s="401"/>
      <c r="AC44" s="132" t="str">
        <f t="shared" si="14"/>
        <v>суглинок с валунами</v>
      </c>
      <c r="AI44" s="327"/>
      <c r="AJ44" s="8">
        <f t="shared" si="18"/>
        <v>0</v>
      </c>
    </row>
    <row r="45" spans="1:36" x14ac:dyDescent="0.45">
      <c r="A45" s="401"/>
      <c r="B45" s="199" t="str">
        <f>ВОР1!B294</f>
        <v>супесь твердая с валунами</v>
      </c>
      <c r="I45" s="8">
        <f t="shared" si="15"/>
        <v>0</v>
      </c>
      <c r="J45" s="401"/>
      <c r="K45" s="199" t="str">
        <f t="shared" si="12"/>
        <v>супесь твердая с валунами</v>
      </c>
      <c r="R45" s="8">
        <f t="shared" si="16"/>
        <v>0</v>
      </c>
      <c r="S45" s="401"/>
      <c r="T45" s="132" t="str">
        <f t="shared" si="13"/>
        <v>супесь твердая с валунами</v>
      </c>
      <c r="Z45" s="327"/>
      <c r="AA45" s="8">
        <f t="shared" si="17"/>
        <v>0</v>
      </c>
      <c r="AB45" s="401"/>
      <c r="AC45" s="132" t="str">
        <f t="shared" si="14"/>
        <v>супесь твердая с валунами</v>
      </c>
      <c r="AI45" s="327"/>
      <c r="AJ45" s="8">
        <f t="shared" si="18"/>
        <v>0</v>
      </c>
    </row>
    <row r="46" spans="1:36" x14ac:dyDescent="0.45">
      <c r="A46" s="401"/>
      <c r="B46" s="199" t="str">
        <f>ВОР1!B295</f>
        <v>супесь твердая с более 30% щебня</v>
      </c>
      <c r="I46" s="8">
        <f t="shared" si="15"/>
        <v>0</v>
      </c>
      <c r="J46" s="401"/>
      <c r="K46" s="199" t="str">
        <f t="shared" si="12"/>
        <v>супесь твердая с более 30% щебня</v>
      </c>
      <c r="R46" s="8">
        <f t="shared" si="16"/>
        <v>0</v>
      </c>
      <c r="S46" s="401"/>
      <c r="T46" s="132" t="str">
        <f t="shared" si="13"/>
        <v>супесь твердая с более 30% щебня</v>
      </c>
      <c r="Z46" s="327"/>
      <c r="AA46" s="8">
        <f t="shared" si="17"/>
        <v>0</v>
      </c>
      <c r="AB46" s="401"/>
      <c r="AC46" s="132" t="str">
        <f t="shared" si="14"/>
        <v>супесь твердая с более 30% щебня</v>
      </c>
      <c r="AI46" s="327"/>
      <c r="AJ46" s="8">
        <f t="shared" si="18"/>
        <v>0</v>
      </c>
    </row>
    <row r="47" spans="1:36" x14ac:dyDescent="0.45">
      <c r="A47" s="401"/>
      <c r="B47" s="199" t="str">
        <f>ВОР1!B296</f>
        <v>глина мягкопластичная с щебнем более 10%</v>
      </c>
      <c r="I47" s="8">
        <f t="shared" si="15"/>
        <v>0</v>
      </c>
      <c r="J47" s="401"/>
      <c r="K47" s="199" t="str">
        <f t="shared" si="12"/>
        <v>глина мягкопластичная с щебнем более 10%</v>
      </c>
      <c r="R47" s="8">
        <f t="shared" si="16"/>
        <v>0</v>
      </c>
      <c r="S47" s="401"/>
      <c r="T47" s="132" t="str">
        <f t="shared" si="13"/>
        <v>глина мягкопластичная с щебнем более 10%</v>
      </c>
      <c r="Z47" s="327"/>
      <c r="AA47" s="8">
        <f t="shared" si="17"/>
        <v>0</v>
      </c>
      <c r="AB47" s="401"/>
      <c r="AC47" s="132" t="str">
        <f t="shared" si="14"/>
        <v>глина мягкопластичная с щебнем более 10%</v>
      </c>
      <c r="AI47" s="327"/>
      <c r="AJ47" s="8">
        <f t="shared" si="18"/>
        <v>0</v>
      </c>
    </row>
    <row r="48" spans="1:36" x14ac:dyDescent="0.45">
      <c r="A48" s="401"/>
      <c r="B48" s="199" t="str">
        <f>ВОР1!B297</f>
        <v>глина полутвердая с щебнем более 10%</v>
      </c>
      <c r="I48" s="8">
        <f t="shared" si="15"/>
        <v>0</v>
      </c>
      <c r="J48" s="401"/>
      <c r="K48" s="199" t="str">
        <f t="shared" si="12"/>
        <v>глина полутвердая с щебнем более 10%</v>
      </c>
      <c r="R48" s="8">
        <f t="shared" si="16"/>
        <v>0</v>
      </c>
      <c r="S48" s="401"/>
      <c r="T48" s="132" t="str">
        <f t="shared" si="13"/>
        <v>глина полутвердая с щебнем более 10%</v>
      </c>
      <c r="Z48" s="327"/>
      <c r="AA48" s="8">
        <f t="shared" si="17"/>
        <v>0</v>
      </c>
      <c r="AB48" s="401"/>
      <c r="AC48" s="132" t="str">
        <f t="shared" si="14"/>
        <v>глина полутвердая с щебнем более 10%</v>
      </c>
      <c r="AI48" s="327"/>
      <c r="AJ48" s="8">
        <f t="shared" si="18"/>
        <v>0</v>
      </c>
    </row>
    <row r="49" spans="1:36" x14ac:dyDescent="0.45">
      <c r="A49" s="401"/>
      <c r="B49" s="199" t="str">
        <f>ВОР1!B298</f>
        <v>глина текучепластичная</v>
      </c>
      <c r="I49" s="8">
        <f t="shared" si="15"/>
        <v>0</v>
      </c>
      <c r="J49" s="401"/>
      <c r="K49" s="199" t="str">
        <f t="shared" si="12"/>
        <v>глина текучепластичная</v>
      </c>
      <c r="R49" s="8">
        <f t="shared" si="16"/>
        <v>0</v>
      </c>
      <c r="S49" s="401"/>
      <c r="T49" s="132" t="str">
        <f t="shared" si="13"/>
        <v>глина текучепластичная</v>
      </c>
      <c r="Z49" s="327"/>
      <c r="AA49" s="8">
        <f t="shared" si="17"/>
        <v>0</v>
      </c>
      <c r="AB49" s="401"/>
      <c r="AC49" s="132" t="str">
        <f t="shared" si="14"/>
        <v>глина текучепластичная</v>
      </c>
      <c r="AI49" s="327"/>
      <c r="AJ49" s="8">
        <f t="shared" si="18"/>
        <v>0</v>
      </c>
    </row>
    <row r="50" spans="1:36" x14ac:dyDescent="0.45">
      <c r="A50" s="401"/>
      <c r="B50" s="199" t="str">
        <f>ВОР1!B299</f>
        <v>глина плотная, с валунами</v>
      </c>
      <c r="I50" s="8">
        <f t="shared" si="15"/>
        <v>0</v>
      </c>
      <c r="J50" s="401"/>
      <c r="K50" s="199" t="str">
        <f t="shared" si="12"/>
        <v>глина плотная, с валунами</v>
      </c>
      <c r="R50" s="8">
        <f t="shared" si="16"/>
        <v>0</v>
      </c>
      <c r="S50" s="401"/>
      <c r="T50" s="132" t="str">
        <f t="shared" si="13"/>
        <v>глина плотная, с валунами</v>
      </c>
      <c r="Z50" s="327"/>
      <c r="AA50" s="8">
        <f t="shared" si="17"/>
        <v>0</v>
      </c>
      <c r="AB50" s="401"/>
      <c r="AC50" s="132" t="str">
        <f t="shared" si="14"/>
        <v>глина плотная, с валунами</v>
      </c>
      <c r="AI50" s="327"/>
      <c r="AJ50" s="8">
        <f t="shared" si="18"/>
        <v>0</v>
      </c>
    </row>
    <row r="51" spans="1:36" x14ac:dyDescent="0.45">
      <c r="A51" s="401"/>
      <c r="B51" s="199" t="str">
        <f>ВОР1!B300</f>
        <v>бетон слабый</v>
      </c>
      <c r="I51" s="8">
        <f t="shared" si="15"/>
        <v>0</v>
      </c>
      <c r="J51" s="401"/>
      <c r="K51" s="199" t="str">
        <f t="shared" si="12"/>
        <v>бетон слабый</v>
      </c>
      <c r="R51" s="8">
        <f t="shared" si="16"/>
        <v>0</v>
      </c>
      <c r="S51" s="401"/>
      <c r="T51" s="132" t="str">
        <f t="shared" si="13"/>
        <v>бетон слабый</v>
      </c>
      <c r="Z51" s="327"/>
      <c r="AA51" s="8">
        <f t="shared" si="17"/>
        <v>0</v>
      </c>
      <c r="AB51" s="401"/>
      <c r="AC51" s="132" t="str">
        <f t="shared" si="14"/>
        <v>бетон слабый</v>
      </c>
      <c r="AI51" s="327"/>
      <c r="AJ51" s="8">
        <f t="shared" si="18"/>
        <v>0</v>
      </c>
    </row>
    <row r="52" spans="1:36" x14ac:dyDescent="0.45">
      <c r="A52" s="401"/>
      <c r="B52" s="199" t="str">
        <f>ВОР1!B301</f>
        <v>дресвяный</v>
      </c>
      <c r="I52" s="8">
        <f t="shared" si="15"/>
        <v>0</v>
      </c>
      <c r="J52" s="401"/>
      <c r="K52" s="199" t="str">
        <f t="shared" si="12"/>
        <v>дресвяный</v>
      </c>
      <c r="R52" s="8">
        <f t="shared" si="16"/>
        <v>0</v>
      </c>
      <c r="S52" s="401"/>
      <c r="T52" s="132" t="str">
        <f t="shared" si="13"/>
        <v>дресвяный</v>
      </c>
      <c r="Z52" s="327"/>
      <c r="AA52" s="8">
        <f t="shared" si="17"/>
        <v>0</v>
      </c>
      <c r="AB52" s="401"/>
      <c r="AC52" s="132" t="str">
        <f t="shared" si="14"/>
        <v>дресвяный</v>
      </c>
      <c r="AI52" s="327"/>
      <c r="AJ52" s="8">
        <f t="shared" si="18"/>
        <v>0</v>
      </c>
    </row>
    <row r="53" spans="1:36" x14ac:dyDescent="0.45">
      <c r="A53" s="401"/>
      <c r="B53" s="199" t="str">
        <f>ВОР1!B302</f>
        <v>известняк сильновыветривывшийся</v>
      </c>
      <c r="I53" s="8">
        <f t="shared" si="15"/>
        <v>0</v>
      </c>
      <c r="J53" s="401"/>
      <c r="K53" s="199" t="str">
        <f t="shared" si="12"/>
        <v>известняк сильновыветривывшийся</v>
      </c>
      <c r="R53" s="8">
        <f t="shared" si="16"/>
        <v>0</v>
      </c>
      <c r="S53" s="401"/>
      <c r="T53" s="132" t="str">
        <f t="shared" si="13"/>
        <v>известняк сильновыветривывшийся</v>
      </c>
      <c r="Z53" s="327"/>
      <c r="AA53" s="8">
        <f t="shared" si="17"/>
        <v>0</v>
      </c>
      <c r="AB53" s="401"/>
      <c r="AC53" s="132" t="str">
        <f t="shared" si="14"/>
        <v>известняк сильновыветривывшийся</v>
      </c>
      <c r="AI53" s="327"/>
      <c r="AJ53" s="8">
        <f t="shared" si="18"/>
        <v>0</v>
      </c>
    </row>
    <row r="54" spans="1:36" ht="14.65" thickBot="1" x14ac:dyDescent="0.5">
      <c r="A54" s="402"/>
      <c r="B54" s="319" t="str">
        <f>ВОР1!B303</f>
        <v>мергель малопрочный</v>
      </c>
      <c r="C54" s="320"/>
      <c r="D54" s="320"/>
      <c r="E54" s="320"/>
      <c r="F54" s="320"/>
      <c r="G54" s="320"/>
      <c r="H54" s="320"/>
      <c r="I54" s="13">
        <f t="shared" si="15"/>
        <v>0</v>
      </c>
      <c r="J54" s="402"/>
      <c r="K54" s="319" t="str">
        <f t="shared" si="12"/>
        <v>мергель малопрочный</v>
      </c>
      <c r="L54" s="320"/>
      <c r="M54" s="320"/>
      <c r="N54" s="320"/>
      <c r="O54" s="320"/>
      <c r="P54" s="320"/>
      <c r="Q54" s="320"/>
      <c r="R54" s="13">
        <f t="shared" si="16"/>
        <v>0</v>
      </c>
      <c r="S54" s="402"/>
      <c r="T54" s="149" t="str">
        <f t="shared" si="13"/>
        <v>мергель малопрочный</v>
      </c>
      <c r="U54" s="320"/>
      <c r="V54" s="320"/>
      <c r="W54" s="320"/>
      <c r="X54" s="320"/>
      <c r="Y54" s="320"/>
      <c r="Z54" s="326"/>
      <c r="AA54" s="13">
        <f t="shared" si="17"/>
        <v>0</v>
      </c>
      <c r="AB54" s="402"/>
      <c r="AC54" s="132" t="str">
        <f t="shared" si="14"/>
        <v>мергель малопрочный</v>
      </c>
      <c r="AI54" s="327"/>
      <c r="AJ54" s="13">
        <f t="shared" si="18"/>
        <v>0</v>
      </c>
    </row>
    <row r="55" spans="1:36" x14ac:dyDescent="0.45">
      <c r="A55" s="400" t="s">
        <v>320</v>
      </c>
      <c r="B55" s="317" t="str">
        <f>ВОР1!B304</f>
        <v>песок железистый на известк. цементе</v>
      </c>
      <c r="C55" s="318"/>
      <c r="D55" s="318"/>
      <c r="E55" s="318"/>
      <c r="F55" s="318"/>
      <c r="G55" s="318"/>
      <c r="H55" s="318"/>
      <c r="I55" s="6">
        <f t="shared" si="15"/>
        <v>0</v>
      </c>
      <c r="J55" s="400" t="s">
        <v>320</v>
      </c>
      <c r="K55" s="317" t="str">
        <f t="shared" si="12"/>
        <v>песок железистый на известк. цементе</v>
      </c>
      <c r="L55" s="318"/>
      <c r="M55" s="318"/>
      <c r="N55" s="318"/>
      <c r="O55" s="318"/>
      <c r="P55" s="318"/>
      <c r="Q55" s="318"/>
      <c r="R55" s="6">
        <f t="shared" si="16"/>
        <v>0</v>
      </c>
      <c r="S55" s="401" t="s">
        <v>320</v>
      </c>
      <c r="T55" s="132" t="str">
        <f t="shared" si="13"/>
        <v>песок железистый на известк. цементе</v>
      </c>
      <c r="Z55" s="327"/>
      <c r="AA55" s="8">
        <f t="shared" si="17"/>
        <v>0</v>
      </c>
      <c r="AB55" s="400" t="s">
        <v>320</v>
      </c>
      <c r="AC55" s="324" t="str">
        <f t="shared" si="14"/>
        <v>песок железистый на известк. цементе</v>
      </c>
      <c r="AD55" s="318"/>
      <c r="AE55" s="318"/>
      <c r="AF55" s="318"/>
      <c r="AG55" s="318"/>
      <c r="AH55" s="318"/>
      <c r="AI55" s="325"/>
      <c r="AJ55" s="6">
        <f t="shared" si="18"/>
        <v>0</v>
      </c>
    </row>
    <row r="56" spans="1:36" x14ac:dyDescent="0.45">
      <c r="A56" s="401"/>
      <c r="B56" s="199" t="str">
        <f>ВОР1!B305</f>
        <v>супесь твердая с более 30% щебня и валунами</v>
      </c>
      <c r="I56" s="8">
        <f t="shared" si="15"/>
        <v>0</v>
      </c>
      <c r="J56" s="401"/>
      <c r="K56" s="199" t="str">
        <f t="shared" si="12"/>
        <v>супесь твердая с более 30% щебня и валунами</v>
      </c>
      <c r="R56" s="8">
        <f t="shared" si="16"/>
        <v>0</v>
      </c>
      <c r="S56" s="401"/>
      <c r="T56" s="132" t="str">
        <f t="shared" si="13"/>
        <v>супесь твердая с более 30% щебня и валунами</v>
      </c>
      <c r="Z56" s="327"/>
      <c r="AA56" s="8">
        <f t="shared" si="17"/>
        <v>0</v>
      </c>
      <c r="AB56" s="401"/>
      <c r="AC56" s="132" t="str">
        <f t="shared" si="14"/>
        <v>супесь твердая с более 30% щебня и валунами</v>
      </c>
      <c r="AI56" s="327"/>
      <c r="AJ56" s="8">
        <f t="shared" si="18"/>
        <v>0</v>
      </c>
    </row>
    <row r="57" spans="1:36" x14ac:dyDescent="0.45">
      <c r="A57" s="401"/>
      <c r="B57" s="199" t="str">
        <f>ВОР1!B306</f>
        <v>глина плотная, твердая</v>
      </c>
      <c r="I57" s="8">
        <f t="shared" si="15"/>
        <v>2.9000000000000057</v>
      </c>
      <c r="J57" s="401"/>
      <c r="K57" s="199" t="str">
        <f t="shared" si="12"/>
        <v>глина плотная, твердая</v>
      </c>
      <c r="R57" s="8">
        <f t="shared" si="16"/>
        <v>2.7000000000000028</v>
      </c>
      <c r="S57" s="401"/>
      <c r="T57" s="132" t="str">
        <f t="shared" si="13"/>
        <v>глина плотная, твердая</v>
      </c>
      <c r="Z57" s="327"/>
      <c r="AA57" s="8">
        <f t="shared" si="17"/>
        <v>3.2000000000000028</v>
      </c>
      <c r="AB57" s="401"/>
      <c r="AC57" s="132" t="str">
        <f t="shared" si="14"/>
        <v>глина плотная, твердая</v>
      </c>
      <c r="AI57" s="327"/>
      <c r="AJ57" s="8">
        <f t="shared" si="18"/>
        <v>3.2999999999999972</v>
      </c>
    </row>
    <row r="58" spans="1:36" x14ac:dyDescent="0.45">
      <c r="A58" s="401"/>
      <c r="B58" s="199" t="str">
        <f>ВОР1!B307</f>
        <v>гравий и галька фр. до 80мм</v>
      </c>
      <c r="I58" s="8">
        <f t="shared" si="15"/>
        <v>0</v>
      </c>
      <c r="J58" s="401"/>
      <c r="K58" s="199" t="str">
        <f t="shared" si="12"/>
        <v>гравий и галька фр. до 80мм</v>
      </c>
      <c r="R58" s="8">
        <f t="shared" si="16"/>
        <v>0</v>
      </c>
      <c r="S58" s="401"/>
      <c r="T58" s="132" t="str">
        <f t="shared" si="13"/>
        <v>гравий и галька фр. до 80мм</v>
      </c>
      <c r="Z58" s="327"/>
      <c r="AA58" s="8">
        <f t="shared" si="17"/>
        <v>0</v>
      </c>
      <c r="AB58" s="401"/>
      <c r="AC58" s="132" t="str">
        <f t="shared" si="14"/>
        <v>гравий и галька фр. до 80мм</v>
      </c>
      <c r="AI58" s="327"/>
      <c r="AJ58" s="8">
        <f t="shared" si="18"/>
        <v>0</v>
      </c>
    </row>
    <row r="59" spans="1:36" x14ac:dyDescent="0.45">
      <c r="A59" s="401"/>
      <c r="B59" s="199" t="str">
        <f>ВОР1!B308</f>
        <v>известняк малопрочный, выветривывшийся</v>
      </c>
      <c r="I59" s="8">
        <f t="shared" si="15"/>
        <v>0</v>
      </c>
      <c r="J59" s="401"/>
      <c r="K59" s="199" t="str">
        <f t="shared" si="12"/>
        <v>известняк малопрочный, выветривывшийся</v>
      </c>
      <c r="R59" s="8">
        <f t="shared" si="16"/>
        <v>0</v>
      </c>
      <c r="S59" s="401"/>
      <c r="T59" s="132" t="str">
        <f t="shared" si="13"/>
        <v>известняк малопрочный, выветривывшийся</v>
      </c>
      <c r="Z59" s="327"/>
      <c r="AA59" s="8">
        <f t="shared" si="17"/>
        <v>0</v>
      </c>
      <c r="AB59" s="401"/>
      <c r="AC59" s="132" t="str">
        <f t="shared" si="14"/>
        <v>известняк малопрочный, выветривывшийся</v>
      </c>
      <c r="AI59" s="327"/>
      <c r="AJ59" s="8">
        <f t="shared" si="18"/>
        <v>0</v>
      </c>
    </row>
    <row r="60" spans="1:36" ht="14.65" thickBot="1" x14ac:dyDescent="0.5">
      <c r="A60" s="402"/>
      <c r="B60" s="319" t="str">
        <f>ВОР1!B309</f>
        <v>мергель прочный</v>
      </c>
      <c r="C60" s="320"/>
      <c r="D60" s="320"/>
      <c r="E60" s="320"/>
      <c r="F60" s="320"/>
      <c r="G60" s="320"/>
      <c r="H60" s="320"/>
      <c r="I60" s="13">
        <f t="shared" si="15"/>
        <v>0</v>
      </c>
      <c r="J60" s="402"/>
      <c r="K60" s="319" t="str">
        <f t="shared" si="12"/>
        <v>мергель прочный</v>
      </c>
      <c r="L60" s="320"/>
      <c r="M60" s="320"/>
      <c r="N60" s="320"/>
      <c r="O60" s="320"/>
      <c r="P60" s="320"/>
      <c r="Q60" s="320"/>
      <c r="R60" s="13">
        <f t="shared" si="16"/>
        <v>0</v>
      </c>
      <c r="S60" s="402"/>
      <c r="T60" s="132" t="str">
        <f t="shared" si="13"/>
        <v>мергель прочный</v>
      </c>
      <c r="Z60" s="327"/>
      <c r="AA60" s="8">
        <f t="shared" si="17"/>
        <v>0</v>
      </c>
      <c r="AB60" s="402"/>
      <c r="AC60" s="149" t="str">
        <f t="shared" si="14"/>
        <v>мергель прочный</v>
      </c>
      <c r="AD60" s="320"/>
      <c r="AE60" s="320"/>
      <c r="AF60" s="320"/>
      <c r="AG60" s="320"/>
      <c r="AH60" s="320"/>
      <c r="AI60" s="326"/>
      <c r="AJ60" s="13">
        <f t="shared" si="18"/>
        <v>0</v>
      </c>
    </row>
    <row r="61" spans="1:36" x14ac:dyDescent="0.45">
      <c r="A61" s="400" t="s">
        <v>321</v>
      </c>
      <c r="B61" s="317" t="str">
        <f>ВОР1!B310</f>
        <v xml:space="preserve">глина плотная, твердая с доломитами </v>
      </c>
      <c r="C61" s="318"/>
      <c r="D61" s="318"/>
      <c r="E61" s="318"/>
      <c r="F61" s="318"/>
      <c r="G61" s="318"/>
      <c r="H61" s="318"/>
      <c r="I61" s="6">
        <f t="shared" si="15"/>
        <v>0</v>
      </c>
      <c r="J61" s="400" t="s">
        <v>321</v>
      </c>
      <c r="K61" s="317" t="str">
        <f t="shared" si="12"/>
        <v xml:space="preserve">глина плотная, твердая с доломитами </v>
      </c>
      <c r="L61" s="318"/>
      <c r="M61" s="318"/>
      <c r="N61" s="318"/>
      <c r="O61" s="318"/>
      <c r="P61" s="318"/>
      <c r="Q61" s="318"/>
      <c r="R61" s="6">
        <f t="shared" si="16"/>
        <v>0</v>
      </c>
      <c r="S61" s="400" t="s">
        <v>321</v>
      </c>
      <c r="T61" s="324" t="str">
        <f t="shared" si="13"/>
        <v xml:space="preserve">глина плотная, твердая с доломитами </v>
      </c>
      <c r="U61" s="318"/>
      <c r="V61" s="318"/>
      <c r="W61" s="318"/>
      <c r="X61" s="318"/>
      <c r="Y61" s="318"/>
      <c r="Z61" s="325"/>
      <c r="AA61" s="6">
        <f t="shared" si="17"/>
        <v>0</v>
      </c>
      <c r="AB61" s="400" t="s">
        <v>321</v>
      </c>
      <c r="AC61" s="132" t="str">
        <f t="shared" si="14"/>
        <v xml:space="preserve">глина плотная, твердая с доломитами </v>
      </c>
      <c r="AI61" s="327"/>
      <c r="AJ61" s="6">
        <f t="shared" si="18"/>
        <v>0</v>
      </c>
    </row>
    <row r="62" spans="1:36" x14ac:dyDescent="0.45">
      <c r="A62" s="401"/>
      <c r="B62" s="199" t="str">
        <f>ВОР1!B311</f>
        <v>галечник крупный с валунами</v>
      </c>
      <c r="I62" s="8">
        <f t="shared" si="15"/>
        <v>0</v>
      </c>
      <c r="J62" s="401"/>
      <c r="K62" s="199" t="str">
        <f t="shared" si="12"/>
        <v>галечник крупный с валунами</v>
      </c>
      <c r="R62" s="8">
        <f t="shared" si="16"/>
        <v>0</v>
      </c>
      <c r="S62" s="401"/>
      <c r="T62" s="132" t="str">
        <f t="shared" si="13"/>
        <v>галечник крупный с валунами</v>
      </c>
      <c r="Z62" s="327"/>
      <c r="AA62" s="8">
        <f t="shared" si="17"/>
        <v>0</v>
      </c>
      <c r="AB62" s="401"/>
      <c r="AC62" s="132" t="str">
        <f t="shared" si="14"/>
        <v>галечник крупный с валунами</v>
      </c>
      <c r="AI62" s="327"/>
      <c r="AJ62" s="8">
        <f t="shared" si="18"/>
        <v>0</v>
      </c>
    </row>
    <row r="63" spans="1:36" ht="14.65" thickBot="1" x14ac:dyDescent="0.5">
      <c r="A63" s="402"/>
      <c r="B63" s="319" t="str">
        <f>ВОР1!B312</f>
        <v>известняк средней прочности</v>
      </c>
      <c r="C63" s="320"/>
      <c r="D63" s="320"/>
      <c r="E63" s="320"/>
      <c r="F63" s="320"/>
      <c r="G63" s="320"/>
      <c r="H63" s="320"/>
      <c r="I63" s="13">
        <f t="shared" si="15"/>
        <v>0</v>
      </c>
      <c r="J63" s="402"/>
      <c r="K63" s="319" t="str">
        <f t="shared" si="12"/>
        <v>известняк средней прочности</v>
      </c>
      <c r="L63" s="320"/>
      <c r="M63" s="320"/>
      <c r="N63" s="320"/>
      <c r="O63" s="320"/>
      <c r="P63" s="320"/>
      <c r="Q63" s="320"/>
      <c r="R63" s="13">
        <f t="shared" si="16"/>
        <v>0</v>
      </c>
      <c r="S63" s="402"/>
      <c r="T63" s="149" t="str">
        <f t="shared" si="13"/>
        <v>известняк средней прочности</v>
      </c>
      <c r="U63" s="320"/>
      <c r="V63" s="320"/>
      <c r="W63" s="320"/>
      <c r="X63" s="320"/>
      <c r="Y63" s="320"/>
      <c r="Z63" s="326"/>
      <c r="AA63" s="13">
        <f t="shared" si="17"/>
        <v>0</v>
      </c>
      <c r="AB63" s="402"/>
      <c r="AC63" s="149" t="str">
        <f t="shared" si="14"/>
        <v>известняк средней прочности</v>
      </c>
      <c r="AD63" s="320"/>
      <c r="AE63" s="320"/>
      <c r="AF63" s="320"/>
      <c r="AG63" s="320"/>
      <c r="AH63" s="320"/>
      <c r="AI63" s="326"/>
      <c r="AJ63" s="13">
        <f t="shared" si="18"/>
        <v>0</v>
      </c>
    </row>
    <row r="64" spans="1:36" x14ac:dyDescent="0.45">
      <c r="A64" s="400" t="s">
        <v>322</v>
      </c>
      <c r="B64" s="317" t="str">
        <f>ВОР1!B313</f>
        <v>бетон крепкий</v>
      </c>
      <c r="C64" s="318"/>
      <c r="D64" s="318"/>
      <c r="E64" s="318"/>
      <c r="F64" s="318"/>
      <c r="G64" s="318"/>
      <c r="H64" s="318"/>
      <c r="I64" s="6">
        <f t="shared" si="15"/>
        <v>0</v>
      </c>
      <c r="J64" s="400" t="s">
        <v>322</v>
      </c>
      <c r="K64" s="317" t="str">
        <f t="shared" si="12"/>
        <v>бетон крепкий</v>
      </c>
      <c r="L64" s="318"/>
      <c r="M64" s="318"/>
      <c r="N64" s="318"/>
      <c r="O64" s="318"/>
      <c r="P64" s="318"/>
      <c r="Q64" s="318"/>
      <c r="R64" s="6">
        <f t="shared" si="16"/>
        <v>0</v>
      </c>
      <c r="S64" s="400" t="s">
        <v>322</v>
      </c>
      <c r="T64" s="324" t="str">
        <f t="shared" si="13"/>
        <v>бетон крепкий</v>
      </c>
      <c r="U64" s="318"/>
      <c r="V64" s="318"/>
      <c r="W64" s="318"/>
      <c r="X64" s="318"/>
      <c r="Y64" s="318"/>
      <c r="Z64" s="325"/>
      <c r="AA64" s="6">
        <f t="shared" si="17"/>
        <v>0</v>
      </c>
      <c r="AB64" s="400" t="s">
        <v>322</v>
      </c>
      <c r="AC64" s="324" t="str">
        <f t="shared" si="14"/>
        <v>бетон крепкий</v>
      </c>
      <c r="AD64" s="318"/>
      <c r="AE64" s="318"/>
      <c r="AF64" s="318"/>
      <c r="AG64" s="318"/>
      <c r="AH64" s="318"/>
      <c r="AI64" s="325"/>
      <c r="AJ64" s="6">
        <f t="shared" si="18"/>
        <v>0</v>
      </c>
    </row>
    <row r="65" spans="1:36" ht="14.65" thickBot="1" x14ac:dyDescent="0.5">
      <c r="A65" s="402"/>
      <c r="B65" s="319" t="str">
        <f>ВОР1!B314</f>
        <v>известняк окварцованный</v>
      </c>
      <c r="C65" s="320"/>
      <c r="D65" s="320"/>
      <c r="E65" s="320"/>
      <c r="F65" s="320"/>
      <c r="G65" s="320"/>
      <c r="H65" s="320"/>
      <c r="I65" s="13">
        <f t="shared" si="15"/>
        <v>0</v>
      </c>
      <c r="J65" s="402"/>
      <c r="K65" s="319" t="str">
        <f t="shared" si="12"/>
        <v>известняк окварцованный</v>
      </c>
      <c r="L65" s="320"/>
      <c r="M65" s="320"/>
      <c r="N65" s="320"/>
      <c r="O65" s="320"/>
      <c r="P65" s="320"/>
      <c r="Q65" s="320"/>
      <c r="R65" s="13">
        <f t="shared" si="16"/>
        <v>0</v>
      </c>
      <c r="S65" s="402"/>
      <c r="T65" s="149" t="str">
        <f t="shared" si="13"/>
        <v>известняк окварцованный</v>
      </c>
      <c r="U65" s="320"/>
      <c r="V65" s="320"/>
      <c r="W65" s="320"/>
      <c r="X65" s="320"/>
      <c r="Y65" s="320"/>
      <c r="Z65" s="326"/>
      <c r="AA65" s="13">
        <f t="shared" si="17"/>
        <v>0</v>
      </c>
      <c r="AB65" s="402"/>
      <c r="AC65" s="149" t="str">
        <f t="shared" si="14"/>
        <v>известняк окварцованный</v>
      </c>
      <c r="AD65" s="320"/>
      <c r="AE65" s="320"/>
      <c r="AF65" s="320"/>
      <c r="AG65" s="320"/>
      <c r="AH65" s="320"/>
      <c r="AI65" s="326"/>
      <c r="AJ65" s="13">
        <f t="shared" si="18"/>
        <v>0</v>
      </c>
    </row>
  </sheetData>
  <mergeCells count="32">
    <mergeCell ref="S34:S42"/>
    <mergeCell ref="S43:S54"/>
    <mergeCell ref="S55:S60"/>
    <mergeCell ref="S61:S63"/>
    <mergeCell ref="AB34:AB42"/>
    <mergeCell ref="AB43:AB54"/>
    <mergeCell ref="AB55:AB60"/>
    <mergeCell ref="AB61:AB63"/>
    <mergeCell ref="A61:A63"/>
    <mergeCell ref="A64:A65"/>
    <mergeCell ref="AB64:AB65"/>
    <mergeCell ref="J61:J63"/>
    <mergeCell ref="J64:J65"/>
    <mergeCell ref="S64:S65"/>
    <mergeCell ref="J34:J42"/>
    <mergeCell ref="J43:J54"/>
    <mergeCell ref="J55:J60"/>
    <mergeCell ref="A34:A42"/>
    <mergeCell ref="A43:A54"/>
    <mergeCell ref="A55:A60"/>
    <mergeCell ref="A27:A33"/>
    <mergeCell ref="AB20:AB26"/>
    <mergeCell ref="AB27:AB33"/>
    <mergeCell ref="S20:S26"/>
    <mergeCell ref="S27:S33"/>
    <mergeCell ref="J20:J26"/>
    <mergeCell ref="J27:J33"/>
    <mergeCell ref="AD2:AJ2"/>
    <mergeCell ref="C2:I2"/>
    <mergeCell ref="L2:R2"/>
    <mergeCell ref="U2:AA2"/>
    <mergeCell ref="A20:A26"/>
  </mergeCells>
  <pageMargins left="0.7" right="0.7" top="0.75" bottom="0.75" header="0.3" footer="0.3"/>
  <pageSetup paperSize="9" orientation="portrait" r:id="rId1"/>
  <ignoredErrors>
    <ignoredError sqref="H4:H5 B5:B6 B8" 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D8"/>
  <sheetViews>
    <sheetView topLeftCell="A5" workbookViewId="0">
      <selection activeCell="D19" sqref="D19"/>
    </sheetView>
  </sheetViews>
  <sheetFormatPr defaultRowHeight="14.25" x14ac:dyDescent="0.45"/>
  <cols>
    <col min="1" max="1" width="11.33203125" style="1" bestFit="1" customWidth="1"/>
    <col min="2" max="2" width="16.46484375" style="1" bestFit="1" customWidth="1"/>
    <col min="3" max="3" width="14.33203125" style="1" bestFit="1" customWidth="1"/>
    <col min="4" max="4" width="9.1328125" style="1" customWidth="1"/>
  </cols>
  <sheetData>
    <row r="1" spans="1:4" ht="14.65" thickBot="1" x14ac:dyDescent="0.5">
      <c r="A1" s="315" t="s">
        <v>394</v>
      </c>
      <c r="B1" s="181" t="s">
        <v>395</v>
      </c>
      <c r="C1" s="181" t="s">
        <v>396</v>
      </c>
      <c r="D1" s="182" t="s">
        <v>397</v>
      </c>
    </row>
    <row r="2" spans="1:4" x14ac:dyDescent="0.45">
      <c r="A2" s="7" t="s">
        <v>339</v>
      </c>
      <c r="B2" s="1">
        <v>12</v>
      </c>
      <c r="C2" s="1">
        <v>0.9</v>
      </c>
      <c r="D2" s="8">
        <v>0.42599999999999999</v>
      </c>
    </row>
    <row r="3" spans="1:4" x14ac:dyDescent="0.45">
      <c r="A3" s="7" t="s">
        <v>340</v>
      </c>
      <c r="B3" s="1">
        <v>15</v>
      </c>
      <c r="C3" s="1">
        <v>0.9</v>
      </c>
      <c r="D3" s="8">
        <v>0.42599999999999999</v>
      </c>
    </row>
    <row r="4" spans="1:4" x14ac:dyDescent="0.45">
      <c r="A4" s="7" t="s">
        <v>341</v>
      </c>
      <c r="B4" s="1">
        <v>30</v>
      </c>
      <c r="C4" s="1">
        <v>0.9</v>
      </c>
      <c r="D4" s="8">
        <v>1.2</v>
      </c>
    </row>
    <row r="5" spans="1:4" x14ac:dyDescent="0.45">
      <c r="A5" s="7" t="s">
        <v>393</v>
      </c>
      <c r="B5" s="1">
        <v>16</v>
      </c>
      <c r="C5" s="1">
        <v>0.9</v>
      </c>
      <c r="D5" s="8">
        <v>1.2</v>
      </c>
    </row>
    <row r="6" spans="1:4" x14ac:dyDescent="0.45">
      <c r="A6" s="7" t="s">
        <v>398</v>
      </c>
      <c r="D6" s="8"/>
    </row>
    <row r="7" spans="1:4" x14ac:dyDescent="0.45">
      <c r="A7" s="7" t="s">
        <v>399</v>
      </c>
      <c r="D7" s="8"/>
    </row>
    <row r="8" spans="1:4" ht="14.65" thickBot="1" x14ac:dyDescent="0.5">
      <c r="A8" s="11" t="s">
        <v>400</v>
      </c>
      <c r="B8" s="12"/>
      <c r="C8" s="12"/>
      <c r="D8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"/>
  <sheetViews>
    <sheetView workbookViewId="0">
      <selection activeCell="B1" sqref="B1"/>
    </sheetView>
  </sheetViews>
  <sheetFormatPr defaultRowHeight="14.25" x14ac:dyDescent="0.45"/>
  <cols>
    <col min="1" max="1" width="11.33203125" bestFit="1" customWidth="1"/>
    <col min="2" max="2" width="14.33203125" bestFit="1" customWidth="1"/>
  </cols>
  <sheetData>
    <row r="1" spans="1:2" ht="14.65" thickBot="1" x14ac:dyDescent="0.5">
      <c r="A1" s="315" t="s">
        <v>402</v>
      </c>
      <c r="B1" s="182" t="s">
        <v>403</v>
      </c>
    </row>
    <row r="2" spans="1:2" x14ac:dyDescent="0.45">
      <c r="A2" s="4" t="s">
        <v>224</v>
      </c>
      <c r="B2" s="6">
        <v>1</v>
      </c>
    </row>
    <row r="3" spans="1:2" x14ac:dyDescent="0.45">
      <c r="A3" s="7" t="s">
        <v>230</v>
      </c>
      <c r="B3" s="8">
        <v>1.1200000000000001</v>
      </c>
    </row>
    <row r="4" spans="1:2" x14ac:dyDescent="0.45">
      <c r="A4" s="7" t="s">
        <v>231</v>
      </c>
      <c r="B4" s="8">
        <v>1.24</v>
      </c>
    </row>
    <row r="5" spans="1:2" x14ac:dyDescent="0.45">
      <c r="A5" s="7" t="s">
        <v>232</v>
      </c>
      <c r="B5" s="8">
        <v>1.37</v>
      </c>
    </row>
    <row r="6" spans="1:2" x14ac:dyDescent="0.45">
      <c r="A6" s="7" t="s">
        <v>229</v>
      </c>
      <c r="B6" s="8">
        <v>1.49</v>
      </c>
    </row>
    <row r="7" spans="1:2" x14ac:dyDescent="0.45">
      <c r="A7" s="7" t="s">
        <v>228</v>
      </c>
      <c r="B7" s="8">
        <v>1.61</v>
      </c>
    </row>
    <row r="8" spans="1:2" x14ac:dyDescent="0.45">
      <c r="A8" s="7" t="s">
        <v>227</v>
      </c>
      <c r="B8" s="8">
        <v>1.73</v>
      </c>
    </row>
    <row r="9" spans="1:2" x14ac:dyDescent="0.45">
      <c r="A9" s="7" t="s">
        <v>226</v>
      </c>
      <c r="B9" s="8">
        <v>1.86</v>
      </c>
    </row>
    <row r="10" spans="1:2" x14ac:dyDescent="0.45">
      <c r="A10" s="7" t="s">
        <v>225</v>
      </c>
      <c r="B10" s="8">
        <v>1.98</v>
      </c>
    </row>
    <row r="11" spans="1:2" x14ac:dyDescent="0.45">
      <c r="A11" s="7" t="s">
        <v>233</v>
      </c>
      <c r="B11" s="8">
        <v>2.12</v>
      </c>
    </row>
    <row r="12" spans="1:2" x14ac:dyDescent="0.45">
      <c r="A12" s="7" t="s">
        <v>234</v>
      </c>
      <c r="B12" s="8">
        <v>2.2799999999999998</v>
      </c>
    </row>
    <row r="13" spans="1:2" x14ac:dyDescent="0.45">
      <c r="A13" s="7" t="s">
        <v>235</v>
      </c>
      <c r="B13" s="8">
        <v>2.44</v>
      </c>
    </row>
    <row r="14" spans="1:2" x14ac:dyDescent="0.45">
      <c r="A14" s="7" t="s">
        <v>236</v>
      </c>
      <c r="B14" s="8">
        <v>2.6</v>
      </c>
    </row>
    <row r="15" spans="1:2" x14ac:dyDescent="0.45">
      <c r="A15" s="7" t="s">
        <v>237</v>
      </c>
      <c r="B15" s="8">
        <v>2.76</v>
      </c>
    </row>
    <row r="16" spans="1:2" ht="14.65" thickBot="1" x14ac:dyDescent="0.5">
      <c r="A16" s="11" t="s">
        <v>238</v>
      </c>
      <c r="B16" s="13">
        <v>2.92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T111"/>
  <sheetViews>
    <sheetView zoomScale="85" zoomScaleNormal="85" workbookViewId="0">
      <selection activeCell="F27" sqref="F27"/>
    </sheetView>
  </sheetViews>
  <sheetFormatPr defaultRowHeight="14.25" x14ac:dyDescent="0.45"/>
  <cols>
    <col min="1" max="1" width="8.53125" style="102" customWidth="1"/>
    <col min="2" max="2" width="51.46484375" style="1" customWidth="1"/>
    <col min="3" max="4" width="9.86328125" customWidth="1"/>
    <col min="5" max="8" width="9.86328125" style="103" customWidth="1"/>
    <col min="9" max="9" width="9.86328125" customWidth="1"/>
    <col min="10" max="11" width="12.6640625" customWidth="1"/>
    <col min="12" max="13" width="10.1328125" customWidth="1"/>
    <col min="14" max="14" width="20.1328125" customWidth="1"/>
    <col min="15" max="15" width="27.46484375" customWidth="1"/>
    <col min="20" max="20" width="9.33203125" style="112" customWidth="1"/>
  </cols>
  <sheetData>
    <row r="1" spans="1:20" x14ac:dyDescent="0.45">
      <c r="G1"/>
      <c r="H1"/>
      <c r="R1" s="112"/>
      <c r="T1"/>
    </row>
    <row r="2" spans="1:20" ht="14.65" thickBot="1" x14ac:dyDescent="0.5">
      <c r="G2"/>
      <c r="H2"/>
      <c r="R2" s="112"/>
      <c r="T2"/>
    </row>
    <row r="3" spans="1:20" x14ac:dyDescent="0.45">
      <c r="B3" s="404"/>
      <c r="C3" s="4" t="s">
        <v>249</v>
      </c>
      <c r="D3" s="301" t="s">
        <v>1</v>
      </c>
      <c r="E3" s="292">
        <v>1.1000000000000001</v>
      </c>
      <c r="F3" s="293">
        <v>1.2</v>
      </c>
      <c r="G3" s="291" t="s">
        <v>5</v>
      </c>
      <c r="H3" s="292">
        <v>2.1</v>
      </c>
      <c r="I3" s="293">
        <v>2.2000000000000002</v>
      </c>
      <c r="J3" s="15" t="s">
        <v>217</v>
      </c>
      <c r="K3" s="15" t="s">
        <v>24</v>
      </c>
      <c r="P3" s="112"/>
      <c r="T3"/>
    </row>
    <row r="4" spans="1:20" ht="14.65" thickBot="1" x14ac:dyDescent="0.5">
      <c r="B4" s="405"/>
      <c r="C4" s="11"/>
      <c r="D4" s="11" t="s">
        <v>2</v>
      </c>
      <c r="E4" s="294" t="s">
        <v>203</v>
      </c>
      <c r="F4" s="295" t="s">
        <v>213</v>
      </c>
      <c r="G4" s="151" t="s">
        <v>2</v>
      </c>
      <c r="H4" s="294" t="s">
        <v>216</v>
      </c>
      <c r="I4" s="295" t="s">
        <v>215</v>
      </c>
      <c r="J4" s="1"/>
      <c r="P4" s="112"/>
      <c r="T4"/>
    </row>
    <row r="5" spans="1:20" ht="15" customHeight="1" x14ac:dyDescent="0.45">
      <c r="B5" s="282" t="s">
        <v>314</v>
      </c>
      <c r="C5" s="2"/>
      <c r="D5" s="4"/>
      <c r="E5" s="193">
        <v>139.30000000000001</v>
      </c>
      <c r="F5" s="232">
        <v>139.30000000000001</v>
      </c>
      <c r="G5" s="2"/>
      <c r="H5" s="194">
        <v>139.19999999999999</v>
      </c>
      <c r="I5" s="232">
        <v>139.4</v>
      </c>
      <c r="J5" s="1"/>
      <c r="P5" s="112"/>
      <c r="T5"/>
    </row>
    <row r="6" spans="1:20" ht="15" customHeight="1" x14ac:dyDescent="0.45">
      <c r="B6" s="283" t="s">
        <v>243</v>
      </c>
      <c r="C6" s="100"/>
      <c r="D6" s="7"/>
      <c r="E6" s="116">
        <v>0</v>
      </c>
      <c r="F6" s="229">
        <v>0</v>
      </c>
      <c r="G6" s="100"/>
      <c r="H6" s="20">
        <v>0</v>
      </c>
      <c r="I6" s="229">
        <v>0</v>
      </c>
      <c r="J6" s="1"/>
      <c r="P6" s="112"/>
      <c r="T6"/>
    </row>
    <row r="7" spans="1:20" ht="15" customHeight="1" x14ac:dyDescent="0.45">
      <c r="B7" s="7" t="s">
        <v>201</v>
      </c>
      <c r="C7" s="100"/>
      <c r="D7" s="7"/>
      <c r="E7" s="116">
        <v>122.69</v>
      </c>
      <c r="F7" s="229">
        <v>122.69</v>
      </c>
      <c r="G7" s="100"/>
      <c r="H7" s="20">
        <v>122.505</v>
      </c>
      <c r="I7" s="229">
        <v>122.505</v>
      </c>
      <c r="J7" s="112"/>
      <c r="P7" s="112"/>
      <c r="T7"/>
    </row>
    <row r="8" spans="1:20" ht="15" customHeight="1" x14ac:dyDescent="0.45">
      <c r="B8" s="328" t="s">
        <v>221</v>
      </c>
      <c r="C8" s="100"/>
      <c r="D8" s="7"/>
      <c r="E8" s="116">
        <v>1</v>
      </c>
      <c r="F8" s="229">
        <v>1</v>
      </c>
      <c r="G8" s="100"/>
      <c r="H8" s="20">
        <v>1</v>
      </c>
      <c r="I8" s="229">
        <v>1</v>
      </c>
      <c r="J8" s="112"/>
      <c r="P8" s="112"/>
      <c r="T8"/>
    </row>
    <row r="9" spans="1:20" ht="30" customHeight="1" x14ac:dyDescent="0.45">
      <c r="B9" s="283" t="s">
        <v>219</v>
      </c>
      <c r="C9" s="100">
        <f>D9+G9</f>
        <v>24</v>
      </c>
      <c r="D9" s="109">
        <f>SUM(E9:F9)</f>
        <v>12</v>
      </c>
      <c r="E9" s="158">
        <f>IF(E16+E17=0,0,_2!E16*3)</f>
        <v>12</v>
      </c>
      <c r="F9" s="159">
        <f>IF(F16+F17=0,0,_2!F16*3)</f>
        <v>0</v>
      </c>
      <c r="G9" s="100">
        <f>SUM(H9:I9)</f>
        <v>12</v>
      </c>
      <c r="H9" s="158">
        <f>IF(H16+H17=0,0,_2!H16*3)</f>
        <v>12</v>
      </c>
      <c r="I9" s="159">
        <f>IF(I16+I17=0,0,_2!I16*3)</f>
        <v>0</v>
      </c>
      <c r="J9" s="113"/>
      <c r="K9" s="114"/>
      <c r="L9" s="112"/>
      <c r="P9" s="112"/>
      <c r="T9"/>
    </row>
    <row r="10" spans="1:20" ht="30" customHeight="1" x14ac:dyDescent="0.45">
      <c r="B10" s="283" t="s">
        <v>388</v>
      </c>
      <c r="C10" s="100">
        <f>D10+G10</f>
        <v>2</v>
      </c>
      <c r="D10" s="109">
        <f>SUM(E10:F10)</f>
        <v>0</v>
      </c>
      <c r="E10" s="158">
        <f>IF(E27=0,0,1)</f>
        <v>0</v>
      </c>
      <c r="F10" s="159">
        <f>IF(F27=0,0,1)</f>
        <v>0</v>
      </c>
      <c r="G10" s="100">
        <f>SUM(H10:I10)</f>
        <v>2</v>
      </c>
      <c r="H10" s="158">
        <f>IF(H27=0,0,1)</f>
        <v>1</v>
      </c>
      <c r="I10" s="159">
        <f>IF(I27=0,0,1)</f>
        <v>1</v>
      </c>
      <c r="J10" s="113"/>
      <c r="K10" s="114"/>
      <c r="L10" s="112"/>
      <c r="P10" s="112"/>
      <c r="T10"/>
    </row>
    <row r="11" spans="1:20" ht="30" customHeight="1" thickBot="1" x14ac:dyDescent="0.5">
      <c r="B11" s="284" t="s">
        <v>220</v>
      </c>
      <c r="C11" s="14">
        <f>D11+G11</f>
        <v>2</v>
      </c>
      <c r="D11" s="63">
        <v>1</v>
      </c>
      <c r="E11" s="150"/>
      <c r="F11" s="13"/>
      <c r="G11" s="274">
        <v>1</v>
      </c>
      <c r="H11" s="12"/>
      <c r="I11" s="13"/>
      <c r="J11" s="113"/>
      <c r="K11" s="114"/>
      <c r="P11" s="112"/>
      <c r="T11"/>
    </row>
    <row r="12" spans="1:20" s="191" customFormat="1" ht="15" customHeight="1" thickBot="1" x14ac:dyDescent="0.5">
      <c r="A12" s="188"/>
      <c r="B12" s="227" t="s">
        <v>302</v>
      </c>
      <c r="C12" s="227"/>
      <c r="D12" s="224"/>
      <c r="E12" s="225"/>
      <c r="F12" s="226"/>
      <c r="G12" s="227"/>
      <c r="H12" s="225"/>
      <c r="I12" s="226"/>
      <c r="J12" s="113"/>
      <c r="K12" s="114"/>
      <c r="L12" s="189"/>
      <c r="M12" s="190"/>
      <c r="N12" s="190"/>
      <c r="R12" s="190"/>
    </row>
    <row r="13" spans="1:20" ht="15" customHeight="1" x14ac:dyDescent="0.45">
      <c r="B13" s="7" t="s">
        <v>199</v>
      </c>
      <c r="C13" s="100"/>
      <c r="D13" s="7"/>
      <c r="E13" s="192">
        <v>16</v>
      </c>
      <c r="F13" s="228">
        <v>16</v>
      </c>
      <c r="G13" s="355"/>
      <c r="H13" s="53">
        <v>16</v>
      </c>
      <c r="I13" s="228">
        <v>16</v>
      </c>
      <c r="J13" s="113"/>
      <c r="K13" s="114"/>
      <c r="P13" s="112"/>
      <c r="T13"/>
    </row>
    <row r="14" spans="1:20" ht="15" customHeight="1" x14ac:dyDescent="0.45">
      <c r="B14" s="7" t="s">
        <v>218</v>
      </c>
      <c r="C14" s="100"/>
      <c r="D14" s="7"/>
      <c r="E14" s="116">
        <v>0.35</v>
      </c>
      <c r="F14" s="229">
        <v>0.35</v>
      </c>
      <c r="G14" s="100"/>
      <c r="H14" s="20">
        <v>0.35</v>
      </c>
      <c r="I14" s="229">
        <v>0.35</v>
      </c>
      <c r="J14" s="113"/>
      <c r="K14" s="114"/>
      <c r="P14" s="112"/>
      <c r="T14"/>
    </row>
    <row r="15" spans="1:20" x14ac:dyDescent="0.45">
      <c r="B15" s="7" t="s">
        <v>202</v>
      </c>
      <c r="C15" s="100">
        <f>SUM(C16:C17)</f>
        <v>72</v>
      </c>
      <c r="D15" s="7"/>
      <c r="E15" s="117" t="str">
        <f>CONCATENATE("С",E13,"-",E14*100)</f>
        <v>С16-35</v>
      </c>
      <c r="F15" s="230" t="str">
        <f>CONCATENATE("С",F13,"-",F14*100)</f>
        <v>С16-35</v>
      </c>
      <c r="G15" s="100"/>
      <c r="H15" s="10" t="str">
        <f>CONCATENATE("С",H13,"-",H14*100)</f>
        <v>С16-35</v>
      </c>
      <c r="I15" s="230" t="str">
        <f>CONCATENATE("С",I13,"-",I14*100)</f>
        <v>С16-35</v>
      </c>
      <c r="J15" s="113"/>
      <c r="K15" s="114"/>
      <c r="P15" s="112"/>
      <c r="T15"/>
    </row>
    <row r="16" spans="1:20" ht="15" customHeight="1" x14ac:dyDescent="0.45">
      <c r="B16" s="7" t="s">
        <v>195</v>
      </c>
      <c r="C16" s="100">
        <f>D16+G16</f>
        <v>48</v>
      </c>
      <c r="D16" s="7">
        <f>SUM(E16:F16)</f>
        <v>24</v>
      </c>
      <c r="E16" s="116">
        <v>12</v>
      </c>
      <c r="F16" s="229">
        <v>12</v>
      </c>
      <c r="G16" s="100">
        <f>SUM(H16:I16)</f>
        <v>24</v>
      </c>
      <c r="H16" s="20">
        <v>12</v>
      </c>
      <c r="I16" s="229">
        <v>12</v>
      </c>
      <c r="J16" s="113"/>
      <c r="K16" s="114"/>
      <c r="P16" s="112"/>
      <c r="T16"/>
    </row>
    <row r="17" spans="2:20" ht="15" customHeight="1" x14ac:dyDescent="0.45">
      <c r="B17" s="7" t="s">
        <v>196</v>
      </c>
      <c r="C17" s="100">
        <f>D17+G17</f>
        <v>24</v>
      </c>
      <c r="D17" s="7">
        <f>SUM(E17:F17)</f>
        <v>12</v>
      </c>
      <c r="E17" s="116">
        <v>6</v>
      </c>
      <c r="F17" s="229">
        <v>6</v>
      </c>
      <c r="G17" s="100">
        <f>SUM(H17:I17)</f>
        <v>12</v>
      </c>
      <c r="H17" s="20">
        <v>6</v>
      </c>
      <c r="I17" s="229">
        <v>6</v>
      </c>
      <c r="J17" s="113"/>
      <c r="K17" s="114"/>
      <c r="P17" s="112"/>
      <c r="T17"/>
    </row>
    <row r="18" spans="2:20" x14ac:dyDescent="0.45">
      <c r="B18" s="283" t="s">
        <v>306</v>
      </c>
      <c r="C18" s="104"/>
      <c r="D18" s="7"/>
      <c r="E18" s="115"/>
      <c r="F18" s="8"/>
      <c r="G18" s="100"/>
      <c r="H18" s="1"/>
      <c r="I18" s="8"/>
      <c r="J18" s="113"/>
      <c r="K18" s="114"/>
      <c r="L18" s="112"/>
      <c r="P18" s="112"/>
      <c r="T18"/>
    </row>
    <row r="19" spans="2:20" ht="15" customHeight="1" x14ac:dyDescent="0.45">
      <c r="B19" s="285" t="s">
        <v>307</v>
      </c>
      <c r="C19" s="104"/>
      <c r="D19" s="105"/>
      <c r="E19" s="299">
        <f>VLOOKUP($B19,скв!B$13:I$19,2,FALSE)</f>
        <v>6.4099999999999966</v>
      </c>
      <c r="F19" s="349">
        <f>VLOOKUP($B19,скв!K$13:R$19,2,FALSE)</f>
        <v>8.0100000000000051</v>
      </c>
      <c r="G19" s="104"/>
      <c r="H19" s="329">
        <f>VLOOKUP($B19,скв!T$13:AA$19,2,FALSE)</f>
        <v>6.5949999999999847</v>
      </c>
      <c r="I19" s="349">
        <f>VLOOKUP($B19,скв!AC$13:AJ$19,2,FALSE)</f>
        <v>10.895000000000024</v>
      </c>
      <c r="J19" s="113"/>
      <c r="K19" s="114"/>
      <c r="L19" s="112"/>
      <c r="P19" s="112"/>
      <c r="T19"/>
    </row>
    <row r="20" spans="2:20" ht="15" customHeight="1" thickBot="1" x14ac:dyDescent="0.5">
      <c r="B20" s="286" t="s">
        <v>308</v>
      </c>
      <c r="C20" s="106"/>
      <c r="D20" s="120"/>
      <c r="E20" s="299">
        <f>VLOOKUP($B20,скв!B$13:I$19,2,FALSE)</f>
        <v>10.200000000000017</v>
      </c>
      <c r="F20" s="349">
        <f>VLOOKUP($B20,скв!K$13:R$19,2,FALSE)</f>
        <v>8.6000000000000085</v>
      </c>
      <c r="G20" s="106"/>
      <c r="H20" s="329">
        <f>VLOOKUP($B20,скв!T$13:AA$19,2,FALSE)</f>
        <v>10.100000000000009</v>
      </c>
      <c r="I20" s="349">
        <f>VLOOKUP($B20,скв!AC$13:AJ$19,2,FALSE)</f>
        <v>5.9999999999999858</v>
      </c>
      <c r="J20" s="113"/>
      <c r="K20" s="114"/>
      <c r="L20" s="112"/>
      <c r="P20" s="112"/>
      <c r="T20"/>
    </row>
    <row r="21" spans="2:20" ht="16.25" customHeight="1" thickBot="1" x14ac:dyDescent="0.5">
      <c r="B21" s="227" t="s">
        <v>303</v>
      </c>
      <c r="C21" s="227"/>
      <c r="D21" s="224"/>
      <c r="E21" s="225"/>
      <c r="F21" s="226"/>
      <c r="G21" s="227"/>
      <c r="H21" s="225"/>
      <c r="I21" s="226"/>
      <c r="J21" s="113"/>
      <c r="K21" s="114"/>
      <c r="L21" s="1"/>
      <c r="N21" s="112"/>
      <c r="R21" s="112"/>
      <c r="T21"/>
    </row>
    <row r="22" spans="2:20" ht="16.25" customHeight="1" x14ac:dyDescent="0.45">
      <c r="B22" s="285" t="s">
        <v>379</v>
      </c>
      <c r="C22" s="100"/>
      <c r="D22" s="7"/>
      <c r="E22" s="193" t="s">
        <v>339</v>
      </c>
      <c r="F22" s="232" t="s">
        <v>340</v>
      </c>
      <c r="G22" s="2"/>
      <c r="H22" s="194" t="s">
        <v>341</v>
      </c>
      <c r="I22" s="232" t="s">
        <v>393</v>
      </c>
      <c r="J22" s="113"/>
      <c r="K22" s="114"/>
      <c r="L22" s="112"/>
      <c r="P22" s="112"/>
      <c r="T22"/>
    </row>
    <row r="23" spans="2:20" ht="16.25" customHeight="1" x14ac:dyDescent="0.45">
      <c r="B23" s="156" t="s">
        <v>380</v>
      </c>
      <c r="C23" s="156"/>
      <c r="D23" s="157"/>
      <c r="E23" s="305" t="str">
        <f>CONCATENATE("[ARM1.xls]",E22)</f>
        <v>[ARM1.xls]БНС1</v>
      </c>
      <c r="F23" s="251" t="str">
        <f>CONCATENATE("[ARM1.xls]",F22)</f>
        <v>[ARM1.xls]БНС2</v>
      </c>
      <c r="G23" s="156"/>
      <c r="H23" s="253" t="str">
        <f>CONCATENATE("[ARM1.xls]",H22)</f>
        <v>[ARM1.xls]БНС3</v>
      </c>
      <c r="I23" s="251" t="str">
        <f>CONCATENATE("[ARM1.xls]",I22)</f>
        <v>[ARM1.xls]БНС4</v>
      </c>
      <c r="J23" s="113"/>
      <c r="K23" s="114"/>
      <c r="L23" s="112"/>
      <c r="P23" s="112"/>
      <c r="T23"/>
    </row>
    <row r="24" spans="2:20" ht="16.25" customHeight="1" x14ac:dyDescent="0.45">
      <c r="B24" s="7" t="s">
        <v>326</v>
      </c>
      <c r="C24" s="100"/>
      <c r="D24" s="7"/>
      <c r="E24" s="306">
        <f>VLOOKUP(E$22,'марки свай'!$A2:$D11,2,FALSE)</f>
        <v>12</v>
      </c>
      <c r="F24" s="350">
        <f>VLOOKUP(F$22,'марки свай'!$A2:$D11,2,FALSE)</f>
        <v>15</v>
      </c>
      <c r="G24" s="355"/>
      <c r="H24" s="158">
        <f>VLOOKUP(H$22,'марки свай'!$A2:$D11,2,FALSE)</f>
        <v>30</v>
      </c>
      <c r="I24" s="350">
        <f>VLOOKUP(I$22,'марки свай'!$A2:$D11,2,FALSE)</f>
        <v>16</v>
      </c>
      <c r="J24" s="113"/>
      <c r="K24" s="114"/>
      <c r="L24" s="112"/>
      <c r="P24" s="112"/>
      <c r="T24"/>
    </row>
    <row r="25" spans="2:20" ht="15" customHeight="1" x14ac:dyDescent="0.45">
      <c r="B25" s="283" t="s">
        <v>221</v>
      </c>
      <c r="C25" s="100"/>
      <c r="D25" s="7"/>
      <c r="E25" s="306">
        <f>VLOOKUP(E$22,'марки свай'!$A2:$D11,3,FALSE)</f>
        <v>0.9</v>
      </c>
      <c r="F25" s="350">
        <f>VLOOKUP(F$22,'марки свай'!$A2:$D11,3,FALSE)</f>
        <v>0.9</v>
      </c>
      <c r="G25" s="156"/>
      <c r="H25" s="158">
        <f>VLOOKUP(H$22,'марки свай'!$A2:$D11,3,FALSE)</f>
        <v>0.9</v>
      </c>
      <c r="I25" s="350">
        <f>VLOOKUP(I$22,'марки свай'!$A2:$D11,3,FALSE)</f>
        <v>0.9</v>
      </c>
      <c r="J25" s="1"/>
      <c r="L25" s="112"/>
      <c r="P25" s="112"/>
      <c r="T25"/>
    </row>
    <row r="26" spans="2:20" ht="16.25" customHeight="1" x14ac:dyDescent="0.45">
      <c r="B26" s="7" t="s">
        <v>304</v>
      </c>
      <c r="C26" s="100"/>
      <c r="D26" s="7"/>
      <c r="E26" s="306">
        <f>VLOOKUP(E$22,'марки свай'!$A2:$D11,4,FALSE)</f>
        <v>0.42599999999999999</v>
      </c>
      <c r="F26" s="350">
        <f>VLOOKUP(F$22,'марки свай'!$A2:$D11,4,FALSE)</f>
        <v>0.42599999999999999</v>
      </c>
      <c r="G26" s="100"/>
      <c r="H26" s="158">
        <f>VLOOKUP(H$22,'марки свай'!$A2:$D11,4,FALSE)</f>
        <v>1.2</v>
      </c>
      <c r="I26" s="350">
        <f>VLOOKUP(I$22,'марки свай'!$A2:$D11,4,FALSE)</f>
        <v>1.2</v>
      </c>
      <c r="J26" s="113"/>
      <c r="K26" s="114"/>
      <c r="L26" s="112"/>
      <c r="P26" s="112"/>
      <c r="T26"/>
    </row>
    <row r="27" spans="2:20" ht="16.25" customHeight="1" x14ac:dyDescent="0.45">
      <c r="B27" s="285" t="s">
        <v>305</v>
      </c>
      <c r="C27" s="100">
        <f>D27+G27</f>
        <v>18</v>
      </c>
      <c r="D27" s="7">
        <f>SUM(E27:F27)</f>
        <v>0</v>
      </c>
      <c r="E27" s="116">
        <v>0</v>
      </c>
      <c r="F27" s="229">
        <v>0</v>
      </c>
      <c r="G27" s="100">
        <f>SUM(H27:I27)</f>
        <v>18</v>
      </c>
      <c r="H27" s="20">
        <v>9</v>
      </c>
      <c r="I27" s="229">
        <v>9</v>
      </c>
      <c r="J27" s="113"/>
      <c r="K27" s="114"/>
      <c r="L27" s="112"/>
      <c r="P27" s="112"/>
      <c r="T27"/>
    </row>
    <row r="28" spans="2:20" ht="16.25" customHeight="1" x14ac:dyDescent="0.45">
      <c r="B28" s="285" t="s">
        <v>385</v>
      </c>
      <c r="C28" s="100"/>
      <c r="D28" s="7"/>
      <c r="E28" s="316">
        <f>PI()*E26*E26/4</f>
        <v>0.14253091710071533</v>
      </c>
      <c r="F28" s="351">
        <f>PI()*F26*F26/4</f>
        <v>0.14253091710071533</v>
      </c>
      <c r="G28" s="356"/>
      <c r="H28" s="353">
        <f>PI()*H26*H26/4</f>
        <v>1.1309733552923256</v>
      </c>
      <c r="I28" s="351">
        <f>PI()*I26*I26/4</f>
        <v>1.1309733552923256</v>
      </c>
      <c r="J28" s="113"/>
      <c r="K28" s="114"/>
      <c r="L28" s="112"/>
      <c r="P28" s="112"/>
      <c r="T28"/>
    </row>
    <row r="29" spans="2:20" ht="16.25" customHeight="1" x14ac:dyDescent="0.45">
      <c r="B29" s="157" t="s">
        <v>381</v>
      </c>
      <c r="C29" s="156"/>
      <c r="D29" s="157"/>
      <c r="E29" s="306">
        <f>ROUND(E24*PI()*E26*E26/4,2)</f>
        <v>1.71</v>
      </c>
      <c r="F29" s="159">
        <f>ROUND(F24*PI()*F26*F26/4,2)</f>
        <v>2.14</v>
      </c>
      <c r="G29" s="156"/>
      <c r="H29" s="158">
        <f>ROUND(H24*PI()*H26*H26/4,2)</f>
        <v>33.93</v>
      </c>
      <c r="I29" s="159">
        <f>ROUND(I24*PI()*I26*I26/4,2)</f>
        <v>18.100000000000001</v>
      </c>
      <c r="J29" s="290"/>
      <c r="K29" s="114"/>
      <c r="L29" s="112"/>
      <c r="P29" s="112"/>
      <c r="T29"/>
    </row>
    <row r="30" spans="2:20" ht="16.25" customHeight="1" x14ac:dyDescent="0.45">
      <c r="B30" s="285" t="s">
        <v>383</v>
      </c>
      <c r="C30" s="104"/>
      <c r="D30" s="105"/>
      <c r="E30" s="118"/>
      <c r="F30" s="231"/>
      <c r="G30" s="104"/>
      <c r="H30" s="101"/>
      <c r="I30" s="231"/>
      <c r="J30" s="113"/>
      <c r="K30" s="114"/>
      <c r="L30" s="112"/>
      <c r="P30" s="112"/>
      <c r="T30"/>
    </row>
    <row r="31" spans="2:20" ht="16.25" customHeight="1" x14ac:dyDescent="0.45">
      <c r="B31" s="285" t="s">
        <v>307</v>
      </c>
      <c r="C31" s="104"/>
      <c r="D31" s="105"/>
      <c r="E31" s="299">
        <f>VLOOKUP($B31,скв!B$13:H$19,3)</f>
        <v>10.010000000000019</v>
      </c>
      <c r="F31" s="307">
        <f>VLOOKUP($B31,скв!K$13:Q$19,3)</f>
        <v>9.2100000000000222</v>
      </c>
      <c r="G31" s="104"/>
      <c r="H31" s="329">
        <f>VLOOKUP($B31,скв!T$13:Z$19,3)</f>
        <v>8.6950000000000074</v>
      </c>
      <c r="I31" s="307">
        <f>VLOOKUP($B31,скв!AC$13:AI$19,3)</f>
        <v>9.6950000000000358</v>
      </c>
      <c r="J31" s="1"/>
      <c r="L31" s="112"/>
      <c r="P31" s="112"/>
      <c r="T31"/>
    </row>
    <row r="32" spans="2:20" ht="16.25" customHeight="1" x14ac:dyDescent="0.45">
      <c r="B32" s="285" t="s">
        <v>308</v>
      </c>
      <c r="C32" s="104"/>
      <c r="D32" s="105"/>
      <c r="E32" s="299">
        <f>VLOOKUP($B32,скв!B$13:H$19,3)</f>
        <v>1.3999999999999773</v>
      </c>
      <c r="F32" s="307">
        <f>VLOOKUP($B32,скв!K$13:Q$19,3)</f>
        <v>1.7999999999999829</v>
      </c>
      <c r="G32" s="104"/>
      <c r="H32" s="329">
        <f>VLOOKUP($B32,скв!T$13:Z$19,3)</f>
        <v>2.1999999999999886</v>
      </c>
      <c r="I32" s="307">
        <f>VLOOKUP($B32,скв!AC$13:AI$19,3)</f>
        <v>1.1999999999999886</v>
      </c>
      <c r="J32" s="1"/>
      <c r="L32" s="112"/>
      <c r="P32" s="112"/>
      <c r="T32"/>
    </row>
    <row r="33" spans="1:20" ht="16.25" customHeight="1" x14ac:dyDescent="0.45">
      <c r="B33" s="285" t="s">
        <v>309</v>
      </c>
      <c r="C33" s="104"/>
      <c r="D33" s="105"/>
      <c r="E33" s="299">
        <f>VLOOKUP($B33,скв!B$13:H$19,3)</f>
        <v>2.3000000000000114</v>
      </c>
      <c r="F33" s="307">
        <f>VLOOKUP($B33,скв!K$13:Q$19,3)</f>
        <v>2.9000000000000057</v>
      </c>
      <c r="G33" s="104"/>
      <c r="H33" s="329">
        <f>VLOOKUP($B33,скв!T$13:Z$19,3)</f>
        <v>2.5999999999999943</v>
      </c>
      <c r="I33" s="307">
        <f>VLOOKUP($B33,скв!AC$13:AI$19,3)</f>
        <v>2.6999999999999886</v>
      </c>
      <c r="J33" s="1"/>
      <c r="L33" s="112"/>
      <c r="P33" s="112"/>
      <c r="T33"/>
    </row>
    <row r="34" spans="1:20" ht="16.25" customHeight="1" x14ac:dyDescent="0.45">
      <c r="B34" s="285" t="s">
        <v>310</v>
      </c>
      <c r="C34" s="104"/>
      <c r="D34" s="105"/>
      <c r="E34" s="299">
        <f>VLOOKUP($B34,скв!B$13:H$19,3)</f>
        <v>0</v>
      </c>
      <c r="F34" s="307">
        <f>VLOOKUP($B34,скв!K$13:Q$19,3)</f>
        <v>0</v>
      </c>
      <c r="G34" s="104"/>
      <c r="H34" s="329">
        <f>VLOOKUP($B34,скв!T$13:Z$19,3)</f>
        <v>0</v>
      </c>
      <c r="I34" s="307">
        <f>VLOOKUP($B34,скв!AC$13:AI$19,3)</f>
        <v>0</v>
      </c>
      <c r="J34" s="1"/>
      <c r="L34" s="112"/>
      <c r="P34" s="112"/>
      <c r="T34"/>
    </row>
    <row r="35" spans="1:20" ht="16.25" customHeight="1" x14ac:dyDescent="0.45">
      <c r="B35" s="285" t="s">
        <v>311</v>
      </c>
      <c r="C35" s="104"/>
      <c r="D35" s="105"/>
      <c r="E35" s="299">
        <f>VLOOKUP($B35,скв!B$13:H$19,3)</f>
        <v>2.9000000000000057</v>
      </c>
      <c r="F35" s="307">
        <f>VLOOKUP($B35,скв!K$13:Q$19,3)</f>
        <v>2.7000000000000028</v>
      </c>
      <c r="G35" s="104"/>
      <c r="H35" s="329">
        <f>VLOOKUP($B35,скв!T$13:Z$19,3)</f>
        <v>3.2000000000000028</v>
      </c>
      <c r="I35" s="307">
        <f>VLOOKUP($B35,скв!AC$13:AI$19,3)</f>
        <v>3.2999999999999972</v>
      </c>
      <c r="J35" s="1"/>
      <c r="L35" s="112"/>
      <c r="P35" s="112"/>
      <c r="T35"/>
    </row>
    <row r="36" spans="1:20" ht="16.25" customHeight="1" x14ac:dyDescent="0.45">
      <c r="B36" s="285" t="s">
        <v>312</v>
      </c>
      <c r="C36" s="104"/>
      <c r="D36" s="105"/>
      <c r="E36" s="299">
        <f>VLOOKUP($B36,скв!B$13:H$19,3)</f>
        <v>0</v>
      </c>
      <c r="F36" s="307">
        <f>VLOOKUP($B36,скв!K$13:Q$19,3)</f>
        <v>0</v>
      </c>
      <c r="G36" s="104"/>
      <c r="H36" s="329">
        <f>VLOOKUP($B36,скв!T$13:Z$19,3)</f>
        <v>0</v>
      </c>
      <c r="I36" s="307">
        <f>VLOOKUP($B36,скв!AC$13:AI$19,3)</f>
        <v>0</v>
      </c>
      <c r="J36" s="1"/>
      <c r="L36" s="112"/>
      <c r="P36" s="112"/>
      <c r="T36"/>
    </row>
    <row r="37" spans="1:20" ht="16.25" customHeight="1" thickBot="1" x14ac:dyDescent="0.5">
      <c r="B37" s="286" t="s">
        <v>313</v>
      </c>
      <c r="C37" s="106"/>
      <c r="D37" s="120"/>
      <c r="E37" s="300">
        <f>VLOOKUP($B37,скв!B$13:H$19,3)</f>
        <v>0</v>
      </c>
      <c r="F37" s="308">
        <f>VLOOKUP($B37,скв!K$13:Q$19,3)</f>
        <v>0</v>
      </c>
      <c r="G37" s="106"/>
      <c r="H37" s="352">
        <f>VLOOKUP($B37,скв!T$13:Z$19,3)</f>
        <v>0</v>
      </c>
      <c r="I37" s="308">
        <f>VLOOKUP($B37,скв!AC$13:AI$19,3)</f>
        <v>0</v>
      </c>
      <c r="L37" s="112"/>
      <c r="P37" s="112"/>
      <c r="T37"/>
    </row>
    <row r="38" spans="1:20" ht="16.25" customHeight="1" x14ac:dyDescent="0.45">
      <c r="B38" s="287" t="s">
        <v>384</v>
      </c>
      <c r="C38" s="186"/>
      <c r="D38" s="209"/>
      <c r="E38" s="210">
        <f>IF(E6&lt;&gt;0,E6,E5)-(E7+E24)</f>
        <v>4.6100000000000136</v>
      </c>
      <c r="F38" s="233">
        <f>IF(F6&lt;&gt;0,F6,F5)-(F7+F24)</f>
        <v>1.6100000000000136</v>
      </c>
      <c r="G38" s="186"/>
      <c r="H38" s="354">
        <f>IF(H6&lt;&gt;0,H6,H5)-(H7+H24)</f>
        <v>-13.305000000000007</v>
      </c>
      <c r="I38" s="233">
        <f>IF(I6&lt;&gt;0,I6,I5)-(I7+I24)</f>
        <v>0.89500000000001023</v>
      </c>
      <c r="L38" s="112"/>
      <c r="P38" s="112"/>
      <c r="T38"/>
    </row>
    <row r="39" spans="1:20" ht="16.25" customHeight="1" x14ac:dyDescent="0.45">
      <c r="B39" s="285" t="s">
        <v>307</v>
      </c>
      <c r="C39" s="104"/>
      <c r="D39" s="105"/>
      <c r="E39" s="299">
        <f>VLOOKUP(B39,скв!B$13:H$19,7)</f>
        <v>4.1000000000000227</v>
      </c>
      <c r="F39" s="307">
        <f>VLOOKUP($B39,скв!K$13:Q$19,7)</f>
        <v>1.6100000000000136</v>
      </c>
      <c r="G39" s="104"/>
      <c r="H39" s="329">
        <f ca="1">VLOOKUP($B39,скв!T$13:Z$19,7)</f>
        <v>0</v>
      </c>
      <c r="I39" s="307">
        <f ca="1">VLOOKUP($B39,скв!AC$13:AI$19,7)</f>
        <v>0.89500000000001023</v>
      </c>
      <c r="L39" s="112"/>
      <c r="P39" s="112"/>
      <c r="T39"/>
    </row>
    <row r="40" spans="1:20" ht="16.25" customHeight="1" x14ac:dyDescent="0.45">
      <c r="B40" s="285" t="s">
        <v>308</v>
      </c>
      <c r="C40" s="104"/>
      <c r="D40" s="105"/>
      <c r="E40" s="299">
        <f>VLOOKUP(B40,скв!B$13:H$19,7)</f>
        <v>0.50999999999999091</v>
      </c>
      <c r="F40" s="307">
        <f>VLOOKUP($B40,скв!K$13:Q$19,7)</f>
        <v>0</v>
      </c>
      <c r="G40" s="104"/>
      <c r="H40" s="329">
        <f ca="1">VLOOKUP($B40,скв!T$13:Z$19,7)</f>
        <v>0</v>
      </c>
      <c r="I40" s="307">
        <f ca="1">VLOOKUP($B40,скв!AC$13:AI$19,7)</f>
        <v>0</v>
      </c>
      <c r="L40" s="112"/>
      <c r="P40" s="112"/>
      <c r="T40"/>
    </row>
    <row r="41" spans="1:20" ht="16.25" customHeight="1" x14ac:dyDescent="0.45">
      <c r="B41" s="285" t="s">
        <v>309</v>
      </c>
      <c r="C41" s="104"/>
      <c r="D41" s="105"/>
      <c r="E41" s="299">
        <f>VLOOKUP(B41,скв!B$13:H$19,7)</f>
        <v>0</v>
      </c>
      <c r="F41" s="307">
        <f>VLOOKUP($B41,скв!K$13:Q$19,7)</f>
        <v>0</v>
      </c>
      <c r="G41" s="104"/>
      <c r="H41" s="329">
        <f ca="1">VLOOKUP($B41,скв!T$13:Z$19,7)</f>
        <v>0</v>
      </c>
      <c r="I41" s="307">
        <f ca="1">VLOOKUP($B41,скв!AC$13:AI$19,7)</f>
        <v>0</v>
      </c>
      <c r="L41" s="112"/>
      <c r="P41" s="112"/>
      <c r="T41"/>
    </row>
    <row r="42" spans="1:20" ht="16.25" customHeight="1" x14ac:dyDescent="0.45">
      <c r="B42" s="285" t="s">
        <v>310</v>
      </c>
      <c r="C42" s="104"/>
      <c r="D42" s="105"/>
      <c r="E42" s="299">
        <f>VLOOKUP(B42,скв!B$13:H$19,7)</f>
        <v>0</v>
      </c>
      <c r="F42" s="307">
        <f>VLOOKUP($B42,скв!K$13:Q$19,7)</f>
        <v>0</v>
      </c>
      <c r="G42" s="104"/>
      <c r="H42" s="329">
        <f ca="1">VLOOKUP($B42,скв!T$13:Z$19,7)</f>
        <v>0</v>
      </c>
      <c r="I42" s="307">
        <f ca="1">VLOOKUP($B42,скв!AC$13:AI$19,7)</f>
        <v>0</v>
      </c>
      <c r="L42" s="112"/>
      <c r="P42" s="112"/>
      <c r="T42"/>
    </row>
    <row r="43" spans="1:20" ht="16.25" customHeight="1" x14ac:dyDescent="0.45">
      <c r="B43" s="285" t="s">
        <v>311</v>
      </c>
      <c r="C43" s="104"/>
      <c r="D43" s="105"/>
      <c r="E43" s="299">
        <f>VLOOKUP(B43,скв!B$13:H$19,7)</f>
        <v>0</v>
      </c>
      <c r="F43" s="307">
        <f>VLOOKUP($B43,скв!K$13:Q$19,7)</f>
        <v>0</v>
      </c>
      <c r="G43" s="104"/>
      <c r="H43" s="329">
        <f ca="1">VLOOKUP($B43,скв!T$13:Z$19,7)</f>
        <v>0</v>
      </c>
      <c r="I43" s="307">
        <f ca="1">VLOOKUP($B43,скв!AC$13:AI$19,7)</f>
        <v>0</v>
      </c>
      <c r="L43" s="112"/>
      <c r="P43" s="112"/>
      <c r="T43"/>
    </row>
    <row r="44" spans="1:20" ht="16.25" customHeight="1" x14ac:dyDescent="0.45">
      <c r="B44" s="285" t="s">
        <v>312</v>
      </c>
      <c r="C44" s="104"/>
      <c r="D44" s="105"/>
      <c r="E44" s="299">
        <f>VLOOKUP(B44,скв!B$13:H$19,7)</f>
        <v>0</v>
      </c>
      <c r="F44" s="307">
        <f>VLOOKUP($B44,скв!K$13:Q$19,7)</f>
        <v>0</v>
      </c>
      <c r="G44" s="104"/>
      <c r="H44" s="329">
        <f ca="1">VLOOKUP($B44,скв!T$13:Z$19,7)</f>
        <v>0</v>
      </c>
      <c r="I44" s="307">
        <f ca="1">VLOOKUP($B44,скв!AC$13:AI$19,7)</f>
        <v>0</v>
      </c>
      <c r="L44" s="112"/>
      <c r="P44" s="112"/>
      <c r="T44"/>
    </row>
    <row r="45" spans="1:20" ht="16.25" customHeight="1" thickBot="1" x14ac:dyDescent="0.5">
      <c r="B45" s="286" t="s">
        <v>313</v>
      </c>
      <c r="C45" s="106"/>
      <c r="D45" s="120"/>
      <c r="E45" s="300">
        <f>VLOOKUP(B45,скв!B$13:H$19,7)</f>
        <v>0</v>
      </c>
      <c r="F45" s="308">
        <f>VLOOKUP($B45,скв!K$13:Q$19,7)</f>
        <v>0</v>
      </c>
      <c r="G45" s="106"/>
      <c r="H45" s="352">
        <f ca="1">VLOOKUP($B45,скв!T$13:Z$19,7)</f>
        <v>0</v>
      </c>
      <c r="I45" s="308">
        <f ca="1">VLOOKUP($B45,скв!AC$13:AI$19,7)</f>
        <v>0</v>
      </c>
      <c r="L45" s="112"/>
      <c r="P45" s="112"/>
      <c r="T45"/>
    </row>
    <row r="46" spans="1:20" ht="16.25" customHeight="1" thickBot="1" x14ac:dyDescent="0.5">
      <c r="B46" s="330" t="s">
        <v>401</v>
      </c>
      <c r="C46" s="186"/>
      <c r="D46" s="105"/>
      <c r="E46" s="357"/>
      <c r="F46" s="358"/>
      <c r="G46" s="104"/>
      <c r="H46" s="329"/>
      <c r="I46" s="307"/>
      <c r="L46" s="112"/>
      <c r="P46" s="112"/>
      <c r="T46"/>
    </row>
    <row r="47" spans="1:20" ht="16.25" customHeight="1" thickBot="1" x14ac:dyDescent="0.5">
      <c r="A47" s="403" t="s">
        <v>240</v>
      </c>
      <c r="B47" s="331" t="str">
        <f>ВОР1!B269</f>
        <v>песок рыхлый</v>
      </c>
      <c r="C47" s="104"/>
      <c r="D47" s="105"/>
      <c r="E47" s="299">
        <f>VLOOKUP($B47,скв!B$20:I$65,8,FALSE)</f>
        <v>1.9099999999999966</v>
      </c>
      <c r="F47" s="307">
        <f>VLOOKUP($B47,скв!K20:R65,8,FALSE)</f>
        <v>4.6000000000000085</v>
      </c>
      <c r="G47" s="104"/>
      <c r="H47" s="329">
        <f>VLOOKUP($B47,скв!T20:AA65,8,FALSE)</f>
        <v>4.394999999999996</v>
      </c>
      <c r="I47" s="307">
        <f>VLOOKUP($B47,скв!AC20:AJ65,8,FALSE)</f>
        <v>8.8000000000000256</v>
      </c>
      <c r="L47" s="112"/>
      <c r="P47" s="112"/>
      <c r="T47"/>
    </row>
    <row r="48" spans="1:20" ht="16.25" customHeight="1" thickBot="1" x14ac:dyDescent="0.5">
      <c r="A48" s="403"/>
      <c r="B48" s="332" t="str">
        <f>ВОР1!B270</f>
        <v>песок другой</v>
      </c>
      <c r="C48" s="104"/>
      <c r="D48" s="105"/>
      <c r="E48" s="299">
        <f>VLOOKUP($B48,скв!B$20:I$65,8,FALSE)</f>
        <v>4</v>
      </c>
      <c r="F48" s="307">
        <f>VLOOKUP($B48,скв!K21:R66,8,FALSE)</f>
        <v>3</v>
      </c>
      <c r="G48" s="104"/>
      <c r="H48" s="329">
        <f>VLOOKUP($B48,скв!T21:AA66,8,FALSE)</f>
        <v>4.3000000000000114</v>
      </c>
      <c r="I48" s="307">
        <f>VLOOKUP($B48,скв!AC21:AJ66,8,FALSE)</f>
        <v>0</v>
      </c>
      <c r="L48" s="112"/>
      <c r="P48" s="112"/>
      <c r="T48"/>
    </row>
    <row r="49" spans="1:20" ht="16.25" customHeight="1" thickBot="1" x14ac:dyDescent="0.5">
      <c r="A49" s="403"/>
      <c r="B49" s="332" t="str">
        <f>ВОР1!B271</f>
        <v>песок пылеватый водонасыщенный</v>
      </c>
      <c r="C49" s="104"/>
      <c r="D49" s="105"/>
      <c r="E49" s="299">
        <f>VLOOKUP($B49,скв!B$20:I$65,8,FALSE)</f>
        <v>0</v>
      </c>
      <c r="F49" s="307">
        <f>VLOOKUP($B49,скв!K22:R67,8,FALSE)</f>
        <v>0</v>
      </c>
      <c r="G49" s="104"/>
      <c r="H49" s="329">
        <f>VLOOKUP($B49,скв!T22:AA67,8,FALSE)</f>
        <v>0</v>
      </c>
      <c r="I49" s="307">
        <f>VLOOKUP($B49,скв!AC22:AJ67,8,FALSE)</f>
        <v>0</v>
      </c>
      <c r="L49" s="112"/>
      <c r="P49" s="112"/>
      <c r="T49"/>
    </row>
    <row r="50" spans="1:20" ht="16.25" customHeight="1" thickBot="1" x14ac:dyDescent="0.5">
      <c r="A50" s="403"/>
      <c r="B50" s="332" t="str">
        <f>ВОР1!B272</f>
        <v>суглинок мягкопластичный</v>
      </c>
      <c r="C50" s="104"/>
      <c r="D50" s="105"/>
      <c r="E50" s="299">
        <f>VLOOKUP($B50,скв!B$20:I$65,8,FALSE)</f>
        <v>0</v>
      </c>
      <c r="F50" s="307">
        <f>VLOOKUP($B50,скв!K23:R68,8,FALSE)</f>
        <v>0</v>
      </c>
      <c r="G50" s="104"/>
      <c r="H50" s="329">
        <f>VLOOKUP($B50,скв!T23:AA68,8,FALSE)</f>
        <v>0</v>
      </c>
      <c r="I50" s="307">
        <f>VLOOKUP($B50,скв!AC23:AJ68,8,FALSE)</f>
        <v>0</v>
      </c>
      <c r="L50" s="112"/>
      <c r="P50" s="112"/>
      <c r="T50"/>
    </row>
    <row r="51" spans="1:20" ht="16.25" customHeight="1" thickBot="1" x14ac:dyDescent="0.5">
      <c r="A51" s="403"/>
      <c r="B51" s="332" t="str">
        <f>ВОР1!B273</f>
        <v>супесь пластичная</v>
      </c>
      <c r="C51" s="104"/>
      <c r="D51" s="105"/>
      <c r="E51" s="299">
        <f>VLOOKUP($B51,скв!B$20:I$65,8,FALSE)</f>
        <v>0</v>
      </c>
      <c r="F51" s="307">
        <f>VLOOKUP($B51,скв!K24:R69,8,FALSE)</f>
        <v>0</v>
      </c>
      <c r="G51" s="104"/>
      <c r="H51" s="329">
        <f>VLOOKUP($B51,скв!T24:AA69,8,FALSE)</f>
        <v>0</v>
      </c>
      <c r="I51" s="307">
        <f>VLOOKUP($B51,скв!AC24:AJ69,8,FALSE)</f>
        <v>0</v>
      </c>
      <c r="L51" s="112"/>
      <c r="P51" s="112"/>
      <c r="T51"/>
    </row>
    <row r="52" spans="1:20" ht="16.25" customHeight="1" thickBot="1" x14ac:dyDescent="0.5">
      <c r="A52" s="403"/>
      <c r="B52" s="332" t="str">
        <f>ВОР1!B274</f>
        <v>ил</v>
      </c>
      <c r="C52" s="104"/>
      <c r="D52" s="105"/>
      <c r="E52" s="299">
        <f>VLOOKUP($B52,скв!B$20:I$65,8,FALSE)</f>
        <v>0</v>
      </c>
      <c r="F52" s="307">
        <f>VLOOKUP($B52,скв!K25:R70,8,FALSE)</f>
        <v>0</v>
      </c>
      <c r="G52" s="104"/>
      <c r="H52" s="329">
        <f>VLOOKUP($B52,скв!T25:AA70,8,FALSE)</f>
        <v>0</v>
      </c>
      <c r="I52" s="307">
        <f>VLOOKUP($B52,скв!AC25:AJ70,8,FALSE)</f>
        <v>0</v>
      </c>
      <c r="L52" s="112"/>
      <c r="P52" s="112"/>
      <c r="T52"/>
    </row>
    <row r="53" spans="1:20" ht="16.25" customHeight="1" thickBot="1" x14ac:dyDescent="0.5">
      <c r="A53" s="403"/>
      <c r="B53" s="333" t="str">
        <f>ВОР1!B275</f>
        <v>торф без корней</v>
      </c>
      <c r="C53" s="104"/>
      <c r="D53" s="105"/>
      <c r="E53" s="299">
        <f>VLOOKUP($B53,скв!B$20:I$65,8,FALSE)</f>
        <v>0</v>
      </c>
      <c r="F53" s="307">
        <f>VLOOKUP($B53,скв!K26:R71,8,FALSE)</f>
        <v>0</v>
      </c>
      <c r="G53" s="104"/>
      <c r="H53" s="329">
        <f>VLOOKUP($B53,скв!T26:AA71,8,FALSE)</f>
        <v>0</v>
      </c>
      <c r="I53" s="307">
        <f>VLOOKUP($B53,скв!AC26:AJ71,8,FALSE)</f>
        <v>0</v>
      </c>
      <c r="L53" s="112"/>
      <c r="P53" s="112"/>
      <c r="T53"/>
    </row>
    <row r="54" spans="1:20" ht="16.25" customHeight="1" thickBot="1" x14ac:dyDescent="0.5">
      <c r="A54" s="403" t="s">
        <v>317</v>
      </c>
      <c r="B54" s="331" t="str">
        <f>ВОР1!B276</f>
        <v>песок слабоцемент. с щебнем до 20%</v>
      </c>
      <c r="C54" s="104"/>
      <c r="D54" s="105"/>
      <c r="E54" s="299">
        <f>VLOOKUP($B54,скв!B$20:I$65,8,FALSE)</f>
        <v>0</v>
      </c>
      <c r="F54" s="307">
        <f>VLOOKUP($B54,скв!K27:R72,8,FALSE)</f>
        <v>0</v>
      </c>
      <c r="G54" s="104"/>
      <c r="H54" s="329">
        <f>VLOOKUP($B54,скв!T27:AA72,8,FALSE)</f>
        <v>0</v>
      </c>
      <c r="I54" s="307">
        <f>VLOOKUP($B54,скв!AC27:AJ72,8,FALSE)</f>
        <v>0</v>
      </c>
      <c r="L54" s="112"/>
      <c r="P54" s="112"/>
      <c r="T54"/>
    </row>
    <row r="55" spans="1:20" ht="16.25" customHeight="1" thickBot="1" x14ac:dyDescent="0.5">
      <c r="A55" s="403"/>
      <c r="B55" s="332" t="str">
        <f>ВОР1!B277</f>
        <v>суглинок тугопластичный до 10% щебня</v>
      </c>
      <c r="C55" s="104"/>
      <c r="D55" s="105"/>
      <c r="E55" s="299">
        <f>VLOOKUP($B55,скв!B$20:I$65,8,FALSE)</f>
        <v>0.88999999999998636</v>
      </c>
      <c r="F55" s="307">
        <f>VLOOKUP($B55,скв!K28:R73,8,FALSE)</f>
        <v>1.7999999999999829</v>
      </c>
      <c r="G55" s="104"/>
      <c r="H55" s="329">
        <f>VLOOKUP($B55,скв!T28:AA73,8,FALSE)</f>
        <v>2.1999999999999886</v>
      </c>
      <c r="I55" s="307">
        <f>VLOOKUP($B55,скв!AC28:AJ73,8,FALSE)</f>
        <v>1.1999999999999886</v>
      </c>
      <c r="L55" s="112"/>
      <c r="P55" s="112"/>
      <c r="T55"/>
    </row>
    <row r="56" spans="1:20" ht="16.25" customHeight="1" thickBot="1" x14ac:dyDescent="0.5">
      <c r="A56" s="403"/>
      <c r="B56" s="332" t="str">
        <f>ВОР1!B278</f>
        <v>суглинок тугопластичный 10-20% щебня</v>
      </c>
      <c r="C56" s="104"/>
      <c r="D56" s="105"/>
      <c r="E56" s="299">
        <f>VLOOKUP($B56,скв!B$20:I$65,8,FALSE)</f>
        <v>0</v>
      </c>
      <c r="F56" s="307">
        <f>VLOOKUP($B56,скв!K29:R74,8,FALSE)</f>
        <v>0</v>
      </c>
      <c r="G56" s="104"/>
      <c r="H56" s="329">
        <f>VLOOKUP($B56,скв!T29:AA74,8,FALSE)</f>
        <v>0</v>
      </c>
      <c r="I56" s="307">
        <f>VLOOKUP($B56,скв!AC29:AJ74,8,FALSE)</f>
        <v>0</v>
      </c>
      <c r="L56" s="112"/>
      <c r="P56" s="112"/>
      <c r="T56"/>
    </row>
    <row r="57" spans="1:20" ht="16.25" customHeight="1" thickBot="1" x14ac:dyDescent="0.5">
      <c r="A57" s="403"/>
      <c r="B57" s="332" t="str">
        <f>ВОР1!B279</f>
        <v>супесь пластичная, водонасыщенная до 10% щебня</v>
      </c>
      <c r="C57" s="104"/>
      <c r="D57" s="105"/>
      <c r="E57" s="299">
        <f>VLOOKUP($B57,скв!B$20:I$65,8,FALSE)</f>
        <v>0</v>
      </c>
      <c r="F57" s="307">
        <f>VLOOKUP($B57,скв!K30:R75,8,FALSE)</f>
        <v>0</v>
      </c>
      <c r="G57" s="104"/>
      <c r="H57" s="329">
        <f>VLOOKUP($B57,скв!T30:AA75,8,FALSE)</f>
        <v>0</v>
      </c>
      <c r="I57" s="307">
        <f>VLOOKUP($B57,скв!AC30:AJ75,8,FALSE)</f>
        <v>0</v>
      </c>
      <c r="L57" s="112"/>
      <c r="P57" s="112"/>
      <c r="T57"/>
    </row>
    <row r="58" spans="1:20" ht="16.25" customHeight="1" thickBot="1" x14ac:dyDescent="0.5">
      <c r="A58" s="403"/>
      <c r="B58" s="332" t="str">
        <f>ВОР1!B280</f>
        <v>супесь пластичная, водонасыщенная до 20% щебня</v>
      </c>
      <c r="C58" s="104"/>
      <c r="D58" s="105"/>
      <c r="E58" s="299">
        <f>VLOOKUP($B58,скв!B$20:I$65,8,FALSE)</f>
        <v>0</v>
      </c>
      <c r="F58" s="307">
        <f>VLOOKUP($B58,скв!K31:R76,8,FALSE)</f>
        <v>0</v>
      </c>
      <c r="G58" s="104"/>
      <c r="H58" s="329">
        <f>VLOOKUP($B58,скв!T31:AA76,8,FALSE)</f>
        <v>0</v>
      </c>
      <c r="I58" s="307">
        <f>VLOOKUP($B58,скв!AC31:AJ76,8,FALSE)</f>
        <v>0</v>
      </c>
      <c r="L58" s="112"/>
      <c r="P58" s="112"/>
      <c r="T58"/>
    </row>
    <row r="59" spans="1:20" ht="16.25" customHeight="1" thickBot="1" x14ac:dyDescent="0.5">
      <c r="A59" s="403"/>
      <c r="B59" s="332" t="str">
        <f>ВОР1!B281</f>
        <v>глина мягкая, тугопластичная</v>
      </c>
      <c r="C59" s="104"/>
      <c r="D59" s="105"/>
      <c r="E59" s="299">
        <f>VLOOKUP($B59,скв!B$20:I$65,8,FALSE)</f>
        <v>0</v>
      </c>
      <c r="F59" s="307">
        <f>VLOOKUP($B59,скв!K32:R77,8,FALSE)</f>
        <v>0</v>
      </c>
      <c r="G59" s="104"/>
      <c r="H59" s="329">
        <f>VLOOKUP($B59,скв!T32:AA77,8,FALSE)</f>
        <v>0</v>
      </c>
      <c r="I59" s="307">
        <f>VLOOKUP($B59,скв!AC32:AJ77,8,FALSE)</f>
        <v>0</v>
      </c>
      <c r="L59" s="112"/>
      <c r="P59" s="112"/>
      <c r="T59"/>
    </row>
    <row r="60" spans="1:20" ht="16.25" customHeight="1" thickBot="1" x14ac:dyDescent="0.5">
      <c r="A60" s="403"/>
      <c r="B60" s="333" t="str">
        <f>ВОР1!B282</f>
        <v>торф с корнями, до 10% щебня</v>
      </c>
      <c r="C60" s="104"/>
      <c r="D60" s="105"/>
      <c r="E60" s="299">
        <f>VLOOKUP($B60,скв!B$20:I$65,8,FALSE)</f>
        <v>0</v>
      </c>
      <c r="F60" s="307">
        <f>VLOOKUP($B60,скв!K33:R78,8,FALSE)</f>
        <v>0</v>
      </c>
      <c r="G60" s="104"/>
      <c r="H60" s="329">
        <f>VLOOKUP($B60,скв!T33:AA78,8,FALSE)</f>
        <v>0</v>
      </c>
      <c r="I60" s="307">
        <f>VLOOKUP($B60,скв!AC33:AJ78,8,FALSE)</f>
        <v>0</v>
      </c>
      <c r="L60" s="112"/>
      <c r="P60" s="112"/>
      <c r="T60"/>
    </row>
    <row r="61" spans="1:20" ht="16.25" customHeight="1" thickBot="1" x14ac:dyDescent="0.5">
      <c r="A61" s="403" t="s">
        <v>318</v>
      </c>
      <c r="B61" s="331" t="str">
        <f>ВОР1!B283</f>
        <v>песок с щебнем 20-30%</v>
      </c>
      <c r="C61" s="104"/>
      <c r="D61" s="105"/>
      <c r="E61" s="299">
        <f>VLOOKUP($B61,скв!B$20:I$65,8,FALSE)</f>
        <v>0</v>
      </c>
      <c r="F61" s="307">
        <f>VLOOKUP($B61,скв!K34:R79,8,FALSE)</f>
        <v>0</v>
      </c>
      <c r="G61" s="104"/>
      <c r="H61" s="329">
        <f>VLOOKUP($B61,скв!T34:AA79,8,FALSE)</f>
        <v>0</v>
      </c>
      <c r="I61" s="307">
        <f>VLOOKUP($B61,скв!AC34:AJ79,8,FALSE)</f>
        <v>0</v>
      </c>
      <c r="L61" s="112"/>
      <c r="P61" s="112"/>
      <c r="T61"/>
    </row>
    <row r="62" spans="1:20" ht="16.25" customHeight="1" thickBot="1" x14ac:dyDescent="0.5">
      <c r="A62" s="403"/>
      <c r="B62" s="332" t="str">
        <f>ВОР1!B284</f>
        <v>суглинок тугопластичный более 20% щебня</v>
      </c>
      <c r="C62" s="104"/>
      <c r="D62" s="105"/>
      <c r="E62" s="299">
        <f>VLOOKUP($B62,скв!B$20:I$65,8,FALSE)</f>
        <v>0</v>
      </c>
      <c r="F62" s="307">
        <f>VLOOKUP($B62,скв!K35:R80,8,FALSE)</f>
        <v>0</v>
      </c>
      <c r="G62" s="104"/>
      <c r="H62" s="329">
        <f>VLOOKUP($B62,скв!T35:AA80,8,FALSE)</f>
        <v>0</v>
      </c>
      <c r="I62" s="307">
        <f>VLOOKUP($B62,скв!AC35:AJ80,8,FALSE)</f>
        <v>0</v>
      </c>
      <c r="L62" s="112"/>
      <c r="P62" s="112"/>
      <c r="T62"/>
    </row>
    <row r="63" spans="1:20" ht="16.25" customHeight="1" thickBot="1" x14ac:dyDescent="0.5">
      <c r="A63" s="403"/>
      <c r="B63" s="332" t="str">
        <f>ВОР1!B285</f>
        <v>суглинок полутвердый, твердый</v>
      </c>
      <c r="C63" s="104"/>
      <c r="D63" s="105"/>
      <c r="E63" s="299">
        <f>VLOOKUP($B63,скв!B$20:I$65,8,FALSE)</f>
        <v>0</v>
      </c>
      <c r="F63" s="307">
        <f>VLOOKUP($B63,скв!K36:R81,8,FALSE)</f>
        <v>0</v>
      </c>
      <c r="G63" s="104"/>
      <c r="H63" s="329">
        <f>VLOOKUP($B63,скв!T36:AA81,8,FALSE)</f>
        <v>0</v>
      </c>
      <c r="I63" s="307">
        <f>VLOOKUP($B63,скв!AC36:AJ81,8,FALSE)</f>
        <v>0</v>
      </c>
      <c r="L63" s="112"/>
      <c r="P63" s="112"/>
      <c r="T63"/>
    </row>
    <row r="64" spans="1:20" ht="16.25" customHeight="1" thickBot="1" x14ac:dyDescent="0.5">
      <c r="A64" s="403"/>
      <c r="B64" s="332" t="str">
        <f>ВОР1!B286</f>
        <v>супесь пластичная с валунами</v>
      </c>
      <c r="C64" s="104"/>
      <c r="D64" s="105"/>
      <c r="E64" s="299">
        <f>VLOOKUP($B64,скв!B$20:I$65,8,FALSE)</f>
        <v>0</v>
      </c>
      <c r="F64" s="307">
        <f>VLOOKUP($B64,скв!K37:R82,8,FALSE)</f>
        <v>0</v>
      </c>
      <c r="G64" s="104"/>
      <c r="H64" s="329">
        <f>VLOOKUP($B64,скв!T37:AA82,8,FALSE)</f>
        <v>0</v>
      </c>
      <c r="I64" s="307">
        <f>VLOOKUP($B64,скв!AC37:AJ82,8,FALSE)</f>
        <v>0</v>
      </c>
      <c r="L64" s="112"/>
      <c r="P64" s="112"/>
      <c r="T64"/>
    </row>
    <row r="65" spans="1:20" ht="16.25" customHeight="1" thickBot="1" x14ac:dyDescent="0.5">
      <c r="A65" s="403"/>
      <c r="B65" s="332" t="str">
        <f>ВОР1!B287</f>
        <v>супесь твердая</v>
      </c>
      <c r="C65" s="104"/>
      <c r="D65" s="105"/>
      <c r="E65" s="299">
        <f>VLOOKUP($B65,скв!B$20:I$65,8,FALSE)</f>
        <v>0</v>
      </c>
      <c r="F65" s="307">
        <f>VLOOKUP($B65,скв!K38:R83,8,FALSE)</f>
        <v>0</v>
      </c>
      <c r="G65" s="104"/>
      <c r="H65" s="329">
        <f>VLOOKUP($B65,скв!T38:AA83,8,FALSE)</f>
        <v>0</v>
      </c>
      <c r="I65" s="307">
        <f>VLOOKUP($B65,скв!AC38:AJ83,8,FALSE)</f>
        <v>0</v>
      </c>
      <c r="L65" s="112"/>
      <c r="P65" s="112"/>
      <c r="T65"/>
    </row>
    <row r="66" spans="1:20" ht="16.25" customHeight="1" thickBot="1" x14ac:dyDescent="0.5">
      <c r="A66" s="403"/>
      <c r="B66" s="332" t="str">
        <f>ВОР1!B288</f>
        <v>глина мягкопластичная</v>
      </c>
      <c r="C66" s="104"/>
      <c r="D66" s="105"/>
      <c r="E66" s="299">
        <f>VLOOKUP($B66,скв!B$20:I$65,8,FALSE)</f>
        <v>0</v>
      </c>
      <c r="F66" s="307">
        <f>VLOOKUP($B66,скв!K39:R84,8,FALSE)</f>
        <v>0</v>
      </c>
      <c r="G66" s="104"/>
      <c r="H66" s="329">
        <f>VLOOKUP($B66,скв!T39:AA84,8,FALSE)</f>
        <v>0</v>
      </c>
      <c r="I66" s="307">
        <f>VLOOKUP($B66,скв!AC39:AJ84,8,FALSE)</f>
        <v>0</v>
      </c>
      <c r="L66" s="112"/>
      <c r="P66" s="112"/>
      <c r="T66"/>
    </row>
    <row r="67" spans="1:20" ht="16.25" customHeight="1" thickBot="1" x14ac:dyDescent="0.5">
      <c r="A67" s="403"/>
      <c r="B67" s="332" t="str">
        <f>ВОР1!B289</f>
        <v>глина полутвердая</v>
      </c>
      <c r="C67" s="104"/>
      <c r="D67" s="105"/>
      <c r="E67" s="299">
        <f>VLOOKUP($B67,скв!B$20:I$65,8,FALSE)</f>
        <v>2.3000000000000114</v>
      </c>
      <c r="F67" s="307">
        <f>VLOOKUP($B67,скв!K40:R85,8,FALSE)</f>
        <v>2.9000000000000057</v>
      </c>
      <c r="G67" s="104"/>
      <c r="H67" s="329">
        <f>VLOOKUP($B67,скв!T40:AA85,8,FALSE)</f>
        <v>2.5999999999999943</v>
      </c>
      <c r="I67" s="307">
        <f>VLOOKUP($B67,скв!AC40:AJ85,8,FALSE)</f>
        <v>2.6999999999999886</v>
      </c>
      <c r="L67" s="112"/>
      <c r="P67" s="112"/>
      <c r="T67"/>
    </row>
    <row r="68" spans="1:20" ht="16.25" customHeight="1" thickBot="1" x14ac:dyDescent="0.5">
      <c r="A68" s="403"/>
      <c r="B68" s="332" t="str">
        <f>ВОР1!B290</f>
        <v>мергель низкой прочности</v>
      </c>
      <c r="C68" s="104"/>
      <c r="D68" s="105"/>
      <c r="E68" s="299">
        <f>VLOOKUP($B68,скв!B$20:I$65,8,FALSE)</f>
        <v>0</v>
      </c>
      <c r="F68" s="307">
        <f>VLOOKUP($B68,скв!K41:R86,8,FALSE)</f>
        <v>0</v>
      </c>
      <c r="G68" s="104"/>
      <c r="H68" s="329">
        <f>VLOOKUP($B68,скв!T41:AA86,8,FALSE)</f>
        <v>0</v>
      </c>
      <c r="I68" s="307">
        <f>VLOOKUP($B68,скв!AC41:AJ86,8,FALSE)</f>
        <v>0</v>
      </c>
      <c r="L68" s="112"/>
      <c r="P68" s="112"/>
      <c r="T68"/>
    </row>
    <row r="69" spans="1:20" ht="16.25" customHeight="1" thickBot="1" x14ac:dyDescent="0.5">
      <c r="A69" s="403"/>
      <c r="B69" s="333" t="str">
        <f>ВОР1!B291</f>
        <v>торф  с щебнем более 10%</v>
      </c>
      <c r="C69" s="104"/>
      <c r="D69" s="105"/>
      <c r="E69" s="299">
        <f>VLOOKUP($B69,скв!B$20:I$65,8,FALSE)</f>
        <v>0</v>
      </c>
      <c r="F69" s="307">
        <f>VLOOKUP($B69,скв!K42:R87,8,FALSE)</f>
        <v>0</v>
      </c>
      <c r="G69" s="104"/>
      <c r="H69" s="329">
        <f>VLOOKUP($B69,скв!T42:AA87,8,FALSE)</f>
        <v>0</v>
      </c>
      <c r="I69" s="307">
        <f>VLOOKUP($B69,скв!AC42:AJ87,8,FALSE)</f>
        <v>0</v>
      </c>
      <c r="L69" s="112"/>
      <c r="P69" s="112"/>
      <c r="T69"/>
    </row>
    <row r="70" spans="1:20" ht="16.25" customHeight="1" thickBot="1" x14ac:dyDescent="0.5">
      <c r="A70" s="403" t="s">
        <v>319</v>
      </c>
      <c r="B70" s="331" t="str">
        <f>ВОР1!B292</f>
        <v>песок с щебнем более 30%</v>
      </c>
      <c r="C70" s="104"/>
      <c r="D70" s="105"/>
      <c r="E70" s="299">
        <f>VLOOKUP($B70,скв!B$20:I$65,8,FALSE)</f>
        <v>0</v>
      </c>
      <c r="F70" s="307">
        <f>VLOOKUP($B70,скв!K43:R88,8,FALSE)</f>
        <v>0</v>
      </c>
      <c r="G70" s="104"/>
      <c r="H70" s="329">
        <f>VLOOKUP($B70,скв!T43:AA88,8,FALSE)</f>
        <v>0</v>
      </c>
      <c r="I70" s="307">
        <f>VLOOKUP($B70,скв!AC43:AJ88,8,FALSE)</f>
        <v>0</v>
      </c>
      <c r="L70" s="112"/>
      <c r="P70" s="112"/>
      <c r="T70"/>
    </row>
    <row r="71" spans="1:20" ht="16.25" customHeight="1" thickBot="1" x14ac:dyDescent="0.5">
      <c r="A71" s="403"/>
      <c r="B71" s="332" t="str">
        <f>ВОР1!B293</f>
        <v>суглинок с валунами</v>
      </c>
      <c r="C71" s="104"/>
      <c r="D71" s="105"/>
      <c r="E71" s="299">
        <f>VLOOKUP($B71,скв!B$20:I$65,8,FALSE)</f>
        <v>0</v>
      </c>
      <c r="F71" s="307">
        <f>VLOOKUP($B71,скв!K44:R89,8,FALSE)</f>
        <v>0</v>
      </c>
      <c r="G71" s="104"/>
      <c r="H71" s="329">
        <f>VLOOKUP($B71,скв!T44:AA89,8,FALSE)</f>
        <v>0</v>
      </c>
      <c r="I71" s="307">
        <f>VLOOKUP($B71,скв!AC44:AJ89,8,FALSE)</f>
        <v>0</v>
      </c>
      <c r="L71" s="112"/>
      <c r="P71" s="112"/>
      <c r="T71"/>
    </row>
    <row r="72" spans="1:20" ht="16.25" customHeight="1" thickBot="1" x14ac:dyDescent="0.5">
      <c r="A72" s="403"/>
      <c r="B72" s="332" t="str">
        <f>ВОР1!B294</f>
        <v>супесь твердая с валунами</v>
      </c>
      <c r="C72" s="104"/>
      <c r="D72" s="105"/>
      <c r="E72" s="299">
        <f>VLOOKUP($B72,скв!B$20:I$65,8,FALSE)</f>
        <v>0</v>
      </c>
      <c r="F72" s="307">
        <f>VLOOKUP($B72,скв!K45:R90,8,FALSE)</f>
        <v>0</v>
      </c>
      <c r="G72" s="104"/>
      <c r="H72" s="329">
        <f>VLOOKUP($B72,скв!T45:AA90,8,FALSE)</f>
        <v>0</v>
      </c>
      <c r="I72" s="307">
        <f>VLOOKUP($B72,скв!AC45:AJ90,8,FALSE)</f>
        <v>0</v>
      </c>
      <c r="L72" s="112"/>
      <c r="P72" s="112"/>
      <c r="T72"/>
    </row>
    <row r="73" spans="1:20" ht="16.25" customHeight="1" thickBot="1" x14ac:dyDescent="0.5">
      <c r="A73" s="403"/>
      <c r="B73" s="332" t="str">
        <f>ВОР1!B295</f>
        <v>супесь твердая с более 30% щебня</v>
      </c>
      <c r="C73" s="104"/>
      <c r="D73" s="105"/>
      <c r="E73" s="299">
        <f>VLOOKUP($B73,скв!B$20:I$65,8,FALSE)</f>
        <v>0</v>
      </c>
      <c r="F73" s="307">
        <f>VLOOKUP($B73,скв!K46:R91,8,FALSE)</f>
        <v>0</v>
      </c>
      <c r="G73" s="104"/>
      <c r="H73" s="329">
        <f>VLOOKUP($B73,скв!T46:AA91,8,FALSE)</f>
        <v>0</v>
      </c>
      <c r="I73" s="307">
        <f>VLOOKUP($B73,скв!AC46:AJ91,8,FALSE)</f>
        <v>0</v>
      </c>
      <c r="L73" s="112"/>
      <c r="P73" s="112"/>
      <c r="T73"/>
    </row>
    <row r="74" spans="1:20" ht="16.25" customHeight="1" thickBot="1" x14ac:dyDescent="0.5">
      <c r="A74" s="403"/>
      <c r="B74" s="332" t="str">
        <f>ВОР1!B296</f>
        <v>глина мягкопластичная с щебнем более 10%</v>
      </c>
      <c r="C74" s="104"/>
      <c r="D74" s="105"/>
      <c r="E74" s="299">
        <f>VLOOKUP($B74,скв!B$20:I$65,8,FALSE)</f>
        <v>0</v>
      </c>
      <c r="F74" s="307">
        <f>VLOOKUP($B74,скв!K47:R92,8,FALSE)</f>
        <v>0</v>
      </c>
      <c r="G74" s="104"/>
      <c r="H74" s="329">
        <f>VLOOKUP($B74,скв!T47:AA92,8,FALSE)</f>
        <v>0</v>
      </c>
      <c r="I74" s="307">
        <f>VLOOKUP($B74,скв!AC47:AJ92,8,FALSE)</f>
        <v>0</v>
      </c>
      <c r="L74" s="112"/>
      <c r="P74" s="112"/>
      <c r="T74"/>
    </row>
    <row r="75" spans="1:20" ht="16.25" customHeight="1" thickBot="1" x14ac:dyDescent="0.5">
      <c r="A75" s="403"/>
      <c r="B75" s="332" t="str">
        <f>ВОР1!B297</f>
        <v>глина полутвердая с щебнем более 10%</v>
      </c>
      <c r="C75" s="104"/>
      <c r="D75" s="105"/>
      <c r="E75" s="299">
        <f>VLOOKUP($B75,скв!B$20:I$65,8,FALSE)</f>
        <v>0</v>
      </c>
      <c r="F75" s="307">
        <f>VLOOKUP($B75,скв!K48:R93,8,FALSE)</f>
        <v>0</v>
      </c>
      <c r="G75" s="104"/>
      <c r="H75" s="329">
        <f>VLOOKUP($B75,скв!T48:AA93,8,FALSE)</f>
        <v>0</v>
      </c>
      <c r="I75" s="307">
        <f>VLOOKUP($B75,скв!AC48:AJ93,8,FALSE)</f>
        <v>0</v>
      </c>
      <c r="L75" s="112"/>
      <c r="P75" s="112"/>
      <c r="T75"/>
    </row>
    <row r="76" spans="1:20" ht="16.25" customHeight="1" thickBot="1" x14ac:dyDescent="0.5">
      <c r="A76" s="403"/>
      <c r="B76" s="332" t="str">
        <f>ВОР1!B298</f>
        <v>глина текучепластичная</v>
      </c>
      <c r="C76" s="104"/>
      <c r="D76" s="105"/>
      <c r="E76" s="299">
        <f>VLOOKUP($B76,скв!B$20:I$65,8,FALSE)</f>
        <v>0</v>
      </c>
      <c r="F76" s="307">
        <f>VLOOKUP($B76,скв!K49:R94,8,FALSE)</f>
        <v>0</v>
      </c>
      <c r="G76" s="104"/>
      <c r="H76" s="329">
        <f>VLOOKUP($B76,скв!T49:AA94,8,FALSE)</f>
        <v>0</v>
      </c>
      <c r="I76" s="307">
        <f>VLOOKUP($B76,скв!AC49:AJ94,8,FALSE)</f>
        <v>0</v>
      </c>
      <c r="L76" s="112"/>
      <c r="P76" s="112"/>
      <c r="T76"/>
    </row>
    <row r="77" spans="1:20" ht="16.25" customHeight="1" thickBot="1" x14ac:dyDescent="0.5">
      <c r="A77" s="403"/>
      <c r="B77" s="332" t="str">
        <f>ВОР1!B299</f>
        <v>глина плотная, с валунами</v>
      </c>
      <c r="C77" s="104"/>
      <c r="D77" s="105"/>
      <c r="E77" s="299">
        <f>VLOOKUP($B77,скв!B$20:I$65,8,FALSE)</f>
        <v>0</v>
      </c>
      <c r="F77" s="307">
        <f>VLOOKUP($B77,скв!K50:R95,8,FALSE)</f>
        <v>0</v>
      </c>
      <c r="G77" s="104"/>
      <c r="H77" s="329">
        <f>VLOOKUP($B77,скв!T50:AA95,8,FALSE)</f>
        <v>0</v>
      </c>
      <c r="I77" s="307">
        <f>VLOOKUP($B77,скв!AC50:AJ95,8,FALSE)</f>
        <v>0</v>
      </c>
      <c r="L77" s="112"/>
      <c r="P77" s="112"/>
      <c r="T77"/>
    </row>
    <row r="78" spans="1:20" ht="16.25" customHeight="1" thickBot="1" x14ac:dyDescent="0.5">
      <c r="A78" s="403"/>
      <c r="B78" s="332" t="str">
        <f>ВОР1!B300</f>
        <v>бетон слабый</v>
      </c>
      <c r="C78" s="104"/>
      <c r="D78" s="105"/>
      <c r="E78" s="299">
        <f>VLOOKUP($B78,скв!B$20:I$65,8,FALSE)</f>
        <v>0</v>
      </c>
      <c r="F78" s="307">
        <f>VLOOKUP($B78,скв!K51:R96,8,FALSE)</f>
        <v>0</v>
      </c>
      <c r="G78" s="104"/>
      <c r="H78" s="329">
        <f>VLOOKUP($B78,скв!T51:AA96,8,FALSE)</f>
        <v>0</v>
      </c>
      <c r="I78" s="307">
        <f>VLOOKUP($B78,скв!AC51:AJ96,8,FALSE)</f>
        <v>0</v>
      </c>
      <c r="L78" s="112"/>
      <c r="P78" s="112"/>
      <c r="T78"/>
    </row>
    <row r="79" spans="1:20" ht="16.25" customHeight="1" thickBot="1" x14ac:dyDescent="0.5">
      <c r="A79" s="403"/>
      <c r="B79" s="332" t="str">
        <f>ВОР1!B301</f>
        <v>дресвяный</v>
      </c>
      <c r="C79" s="104"/>
      <c r="D79" s="105"/>
      <c r="E79" s="299">
        <f>VLOOKUP($B79,скв!B$20:I$65,8,FALSE)</f>
        <v>0</v>
      </c>
      <c r="F79" s="307">
        <f>VLOOKUP($B79,скв!K52:R97,8,FALSE)</f>
        <v>0</v>
      </c>
      <c r="G79" s="104"/>
      <c r="H79" s="329">
        <f>VLOOKUP($B79,скв!T52:AA97,8,FALSE)</f>
        <v>0</v>
      </c>
      <c r="I79" s="307">
        <f>VLOOKUP($B79,скв!AC52:AJ97,8,FALSE)</f>
        <v>0</v>
      </c>
      <c r="L79" s="112"/>
      <c r="P79" s="112"/>
      <c r="T79"/>
    </row>
    <row r="80" spans="1:20" ht="16.25" customHeight="1" thickBot="1" x14ac:dyDescent="0.5">
      <c r="A80" s="403"/>
      <c r="B80" s="332" t="str">
        <f>ВОР1!B302</f>
        <v>известняк сильновыветривывшийся</v>
      </c>
      <c r="C80" s="104"/>
      <c r="D80" s="105"/>
      <c r="E80" s="299">
        <f>VLOOKUP($B80,скв!B$20:I$65,8,FALSE)</f>
        <v>0</v>
      </c>
      <c r="F80" s="307">
        <f>VLOOKUP($B80,скв!K53:R98,8,FALSE)</f>
        <v>0</v>
      </c>
      <c r="G80" s="104"/>
      <c r="H80" s="329">
        <f>VLOOKUP($B80,скв!T53:AA98,8,FALSE)</f>
        <v>0</v>
      </c>
      <c r="I80" s="307">
        <f>VLOOKUP($B80,скв!AC53:AJ98,8,FALSE)</f>
        <v>0</v>
      </c>
      <c r="L80" s="112"/>
      <c r="P80" s="112"/>
      <c r="T80"/>
    </row>
    <row r="81" spans="1:20" ht="16.25" customHeight="1" thickBot="1" x14ac:dyDescent="0.5">
      <c r="A81" s="403"/>
      <c r="B81" s="333" t="str">
        <f>ВОР1!B303</f>
        <v>мергель малопрочный</v>
      </c>
      <c r="C81" s="104"/>
      <c r="D81" s="105"/>
      <c r="E81" s="299">
        <f>VLOOKUP($B81,скв!B$20:I$65,8,FALSE)</f>
        <v>0</v>
      </c>
      <c r="F81" s="307">
        <f>VLOOKUP($B81,скв!K54:R99,8,FALSE)</f>
        <v>0</v>
      </c>
      <c r="G81" s="104"/>
      <c r="H81" s="329">
        <f>VLOOKUP($B81,скв!T54:AA99,8,FALSE)</f>
        <v>0</v>
      </c>
      <c r="I81" s="307">
        <f>VLOOKUP($B81,скв!AC54:AJ99,8,FALSE)</f>
        <v>0</v>
      </c>
      <c r="L81" s="112"/>
      <c r="P81" s="112"/>
      <c r="T81"/>
    </row>
    <row r="82" spans="1:20" ht="16.25" customHeight="1" thickBot="1" x14ac:dyDescent="0.5">
      <c r="A82" s="403" t="s">
        <v>320</v>
      </c>
      <c r="B82" s="331" t="str">
        <f>ВОР1!B304</f>
        <v>песок железистый на известк. цементе</v>
      </c>
      <c r="C82" s="104"/>
      <c r="D82" s="105"/>
      <c r="E82" s="299">
        <f>VLOOKUP($B82,скв!B$20:I$65,8,FALSE)</f>
        <v>0</v>
      </c>
      <c r="F82" s="307">
        <f>VLOOKUP($B82,скв!K55:R100,8,FALSE)</f>
        <v>0</v>
      </c>
      <c r="G82" s="104"/>
      <c r="H82" s="329">
        <f>VLOOKUP($B82,скв!T55:AA100,8,FALSE)</f>
        <v>0</v>
      </c>
      <c r="I82" s="307">
        <f>VLOOKUP($B82,скв!AC55:AJ100,8,FALSE)</f>
        <v>0</v>
      </c>
      <c r="L82" s="112"/>
      <c r="P82" s="112"/>
      <c r="T82"/>
    </row>
    <row r="83" spans="1:20" ht="16.25" customHeight="1" thickBot="1" x14ac:dyDescent="0.5">
      <c r="A83" s="403"/>
      <c r="B83" s="332" t="str">
        <f>ВОР1!B305</f>
        <v>супесь твердая с более 30% щебня и валунами</v>
      </c>
      <c r="C83" s="104"/>
      <c r="D83" s="105"/>
      <c r="E83" s="299">
        <f>VLOOKUP($B83,скв!B$20:I$65,8,FALSE)</f>
        <v>0</v>
      </c>
      <c r="F83" s="307">
        <f>VLOOKUP($B83,скв!K56:R101,8,FALSE)</f>
        <v>0</v>
      </c>
      <c r="G83" s="104"/>
      <c r="H83" s="329">
        <f>VLOOKUP($B83,скв!T56:AA101,8,FALSE)</f>
        <v>0</v>
      </c>
      <c r="I83" s="307">
        <f>VLOOKUP($B83,скв!AC56:AJ101,8,FALSE)</f>
        <v>0</v>
      </c>
      <c r="L83" s="112"/>
      <c r="P83" s="112"/>
      <c r="T83"/>
    </row>
    <row r="84" spans="1:20" ht="16.25" customHeight="1" thickBot="1" x14ac:dyDescent="0.5">
      <c r="A84" s="403"/>
      <c r="B84" s="332" t="str">
        <f>ВОР1!B306</f>
        <v>глина плотная, твердая</v>
      </c>
      <c r="C84" s="104"/>
      <c r="D84" s="105"/>
      <c r="E84" s="299">
        <f>VLOOKUP($B84,скв!B$20:I$65,8,FALSE)</f>
        <v>2.9000000000000057</v>
      </c>
      <c r="F84" s="307">
        <f>VLOOKUP($B84,скв!K57:R102,8,FALSE)</f>
        <v>2.7000000000000028</v>
      </c>
      <c r="G84" s="104"/>
      <c r="H84" s="329">
        <f>VLOOKUP($B84,скв!T57:AA102,8,FALSE)</f>
        <v>3.2000000000000028</v>
      </c>
      <c r="I84" s="307">
        <f>VLOOKUP($B84,скв!AC57:AJ102,8,FALSE)</f>
        <v>3.2999999999999972</v>
      </c>
      <c r="L84" s="112"/>
      <c r="P84" s="112"/>
      <c r="T84"/>
    </row>
    <row r="85" spans="1:20" ht="16.25" customHeight="1" thickBot="1" x14ac:dyDescent="0.5">
      <c r="A85" s="403"/>
      <c r="B85" s="332" t="str">
        <f>ВОР1!B307</f>
        <v>гравий и галька фр. до 80мм</v>
      </c>
      <c r="C85" s="104"/>
      <c r="D85" s="105"/>
      <c r="E85" s="299">
        <f>VLOOKUP($B85,скв!B$20:I$65,8,FALSE)</f>
        <v>0</v>
      </c>
      <c r="F85" s="307">
        <f>VLOOKUP($B85,скв!K58:R103,8,FALSE)</f>
        <v>0</v>
      </c>
      <c r="G85" s="104"/>
      <c r="H85" s="329">
        <f>VLOOKUP($B85,скв!T58:AA103,8,FALSE)</f>
        <v>0</v>
      </c>
      <c r="I85" s="307">
        <f>VLOOKUP($B85,скв!AC58:AJ103,8,FALSE)</f>
        <v>0</v>
      </c>
      <c r="L85" s="112"/>
      <c r="P85" s="112"/>
      <c r="T85"/>
    </row>
    <row r="86" spans="1:20" ht="16.25" customHeight="1" thickBot="1" x14ac:dyDescent="0.5">
      <c r="A86" s="403"/>
      <c r="B86" s="332" t="str">
        <f>ВОР1!B308</f>
        <v>известняк малопрочный, выветривывшийся</v>
      </c>
      <c r="C86" s="104"/>
      <c r="D86" s="105"/>
      <c r="E86" s="299">
        <f>VLOOKUP($B86,скв!B$20:I$65,8,FALSE)</f>
        <v>0</v>
      </c>
      <c r="F86" s="307">
        <f>VLOOKUP($B86,скв!K59:R104,8,FALSE)</f>
        <v>0</v>
      </c>
      <c r="G86" s="104"/>
      <c r="H86" s="329">
        <f>VLOOKUP($B86,скв!T59:AA104,8,FALSE)</f>
        <v>0</v>
      </c>
      <c r="I86" s="307">
        <f>VLOOKUP($B86,скв!AC59:AJ104,8,FALSE)</f>
        <v>0</v>
      </c>
      <c r="L86" s="112"/>
      <c r="P86" s="112"/>
      <c r="T86"/>
    </row>
    <row r="87" spans="1:20" ht="16.25" customHeight="1" thickBot="1" x14ac:dyDescent="0.5">
      <c r="A87" s="403"/>
      <c r="B87" s="333" t="str">
        <f>ВОР1!B309</f>
        <v>мергель прочный</v>
      </c>
      <c r="C87" s="104"/>
      <c r="D87" s="105"/>
      <c r="E87" s="299">
        <f>VLOOKUP($B87,скв!B$20:I$65,8,FALSE)</f>
        <v>0</v>
      </c>
      <c r="F87" s="307">
        <f>VLOOKUP($B87,скв!K60:R105,8,FALSE)</f>
        <v>0</v>
      </c>
      <c r="G87" s="104"/>
      <c r="H87" s="329">
        <f>VLOOKUP($B87,скв!T60:AA105,8,FALSE)</f>
        <v>0</v>
      </c>
      <c r="I87" s="307">
        <f>VLOOKUP($B87,скв!AC60:AJ105,8,FALSE)</f>
        <v>0</v>
      </c>
      <c r="L87" s="112"/>
      <c r="P87" s="112"/>
      <c r="T87"/>
    </row>
    <row r="88" spans="1:20" ht="16.25" customHeight="1" thickBot="1" x14ac:dyDescent="0.5">
      <c r="A88" s="403" t="s">
        <v>321</v>
      </c>
      <c r="B88" s="331" t="str">
        <f>ВОР1!B310</f>
        <v xml:space="preserve">глина плотная, твердая с доломитами </v>
      </c>
      <c r="C88" s="104"/>
      <c r="D88" s="105"/>
      <c r="E88" s="299">
        <f>VLOOKUP($B88,скв!B$20:I$65,8,FALSE)</f>
        <v>0</v>
      </c>
      <c r="F88" s="307">
        <f>VLOOKUP($B88,скв!K61:R106,8,FALSE)</f>
        <v>0</v>
      </c>
      <c r="G88" s="104"/>
      <c r="H88" s="329">
        <f>VLOOKUP($B88,скв!T61:AA106,8,FALSE)</f>
        <v>0</v>
      </c>
      <c r="I88" s="307">
        <f>VLOOKUP($B88,скв!AC61:AJ106,8,FALSE)</f>
        <v>0</v>
      </c>
      <c r="L88" s="112"/>
      <c r="P88" s="112"/>
      <c r="T88"/>
    </row>
    <row r="89" spans="1:20" ht="16.25" customHeight="1" thickBot="1" x14ac:dyDescent="0.5">
      <c r="A89" s="403"/>
      <c r="B89" s="332" t="str">
        <f>ВОР1!B311</f>
        <v>галечник крупный с валунами</v>
      </c>
      <c r="C89" s="104"/>
      <c r="D89" s="105"/>
      <c r="E89" s="299">
        <f>VLOOKUP($B89,скв!B$20:I$65,8,FALSE)</f>
        <v>0</v>
      </c>
      <c r="F89" s="307">
        <f>VLOOKUP($B89,скв!K62:R107,8,FALSE)</f>
        <v>0</v>
      </c>
      <c r="G89" s="104"/>
      <c r="H89" s="329">
        <f>VLOOKUP($B89,скв!T62:AA107,8,FALSE)</f>
        <v>0</v>
      </c>
      <c r="I89" s="307">
        <f>VLOOKUP($B89,скв!AC62:AJ107,8,FALSE)</f>
        <v>0</v>
      </c>
      <c r="L89" s="112"/>
      <c r="P89" s="112"/>
      <c r="T89"/>
    </row>
    <row r="90" spans="1:20" ht="16.25" customHeight="1" thickBot="1" x14ac:dyDescent="0.5">
      <c r="A90" s="403"/>
      <c r="B90" s="333" t="str">
        <f>ВОР1!B312</f>
        <v>известняк средней прочности</v>
      </c>
      <c r="C90" s="104"/>
      <c r="D90" s="105"/>
      <c r="E90" s="299">
        <f>VLOOKUP($B90,скв!B$20:I$65,8,FALSE)</f>
        <v>0</v>
      </c>
      <c r="F90" s="307">
        <f>VLOOKUP($B90,скв!K63:R108,8,FALSE)</f>
        <v>0</v>
      </c>
      <c r="G90" s="104"/>
      <c r="H90" s="329">
        <f>VLOOKUP($B90,скв!T63:AA108,8,FALSE)</f>
        <v>0</v>
      </c>
      <c r="I90" s="307">
        <f>VLOOKUP($B90,скв!AC63:AJ108,8,FALSE)</f>
        <v>0</v>
      </c>
      <c r="L90" s="112"/>
      <c r="P90" s="112"/>
      <c r="T90"/>
    </row>
    <row r="91" spans="1:20" ht="16.25" customHeight="1" thickBot="1" x14ac:dyDescent="0.5">
      <c r="A91" s="403" t="s">
        <v>322</v>
      </c>
      <c r="B91" s="331" t="str">
        <f>ВОР1!B313</f>
        <v>бетон крепкий</v>
      </c>
      <c r="C91" s="104"/>
      <c r="D91" s="105"/>
      <c r="E91" s="299">
        <f>VLOOKUP($B91,скв!B$20:I$65,8,FALSE)</f>
        <v>0</v>
      </c>
      <c r="F91" s="307">
        <f>VLOOKUP($B91,скв!K64:R109,8,FALSE)</f>
        <v>0</v>
      </c>
      <c r="G91" s="104"/>
      <c r="H91" s="329">
        <f>VLOOKUP($B91,скв!T64:AA109,8,FALSE)</f>
        <v>0</v>
      </c>
      <c r="I91" s="307">
        <f>VLOOKUP($B91,скв!AC64:AJ109,8,FALSE)</f>
        <v>0</v>
      </c>
      <c r="L91" s="112"/>
      <c r="P91" s="112"/>
      <c r="T91"/>
    </row>
    <row r="92" spans="1:20" ht="16.25" customHeight="1" thickBot="1" x14ac:dyDescent="0.5">
      <c r="A92" s="403"/>
      <c r="B92" s="333" t="str">
        <f>ВОР1!B314</f>
        <v>известняк окварцованный</v>
      </c>
      <c r="C92" s="106"/>
      <c r="D92" s="120"/>
      <c r="E92" s="300">
        <f>VLOOKUP($B92,скв!B$20:I$65,8,FALSE)</f>
        <v>0</v>
      </c>
      <c r="F92" s="308">
        <f>VLOOKUP($B92,скв!K65:R110,8,FALSE)</f>
        <v>0</v>
      </c>
      <c r="G92" s="106"/>
      <c r="H92" s="352">
        <f>VLOOKUP($B92,скв!T65:AA110,8,FALSE)</f>
        <v>0</v>
      </c>
      <c r="I92" s="308">
        <f>VLOOKUP($B92,скв!AC65:AJ110,8,FALSE)</f>
        <v>0</v>
      </c>
      <c r="L92" s="112"/>
      <c r="P92" s="112"/>
      <c r="T92"/>
    </row>
    <row r="93" spans="1:20" ht="16.25" customHeight="1" thickBot="1" x14ac:dyDescent="0.5">
      <c r="B93" s="280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"/>
      <c r="P93" s="112"/>
    </row>
    <row r="94" spans="1:20" ht="16.25" customHeight="1" thickBot="1" x14ac:dyDescent="0.5">
      <c r="A94" s="202"/>
      <c r="B94" s="205" t="s">
        <v>328</v>
      </c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"/>
      <c r="P94" s="112"/>
    </row>
    <row r="95" spans="1:20" ht="16.25" customHeight="1" thickBot="1" x14ac:dyDescent="0.5">
      <c r="A95" s="201"/>
      <c r="B95" s="288" t="s">
        <v>329</v>
      </c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"/>
      <c r="P95" s="112"/>
    </row>
    <row r="96" spans="1:20" ht="16.25" customHeight="1" thickBot="1" x14ac:dyDescent="0.5">
      <c r="A96" s="200"/>
      <c r="B96" s="207" t="s">
        <v>330</v>
      </c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"/>
      <c r="P96" s="112"/>
    </row>
    <row r="97" spans="2:16" ht="16.25" customHeight="1" x14ac:dyDescent="0.45">
      <c r="C97" s="108"/>
      <c r="E97"/>
      <c r="F97"/>
      <c r="G97"/>
      <c r="I97" s="64"/>
      <c r="P97" s="112"/>
    </row>
    <row r="98" spans="2:16" x14ac:dyDescent="0.45">
      <c r="B98" s="289"/>
    </row>
    <row r="99" spans="2:16" x14ac:dyDescent="0.45">
      <c r="B99" s="289"/>
    </row>
    <row r="100" spans="2:16" x14ac:dyDescent="0.45">
      <c r="B100" s="289"/>
    </row>
    <row r="101" spans="2:16" x14ac:dyDescent="0.45">
      <c r="B101" s="289"/>
    </row>
    <row r="102" spans="2:16" x14ac:dyDescent="0.45">
      <c r="B102" s="289"/>
    </row>
    <row r="103" spans="2:16" x14ac:dyDescent="0.45">
      <c r="B103" s="289"/>
    </row>
    <row r="104" spans="2:16" x14ac:dyDescent="0.45">
      <c r="B104" s="289"/>
    </row>
    <row r="105" spans="2:16" x14ac:dyDescent="0.45">
      <c r="B105" s="289"/>
    </row>
    <row r="106" spans="2:16" x14ac:dyDescent="0.45">
      <c r="B106" s="289"/>
    </row>
    <row r="107" spans="2:16" x14ac:dyDescent="0.45">
      <c r="B107" s="289"/>
    </row>
    <row r="108" spans="2:16" x14ac:dyDescent="0.45">
      <c r="B108" s="289"/>
    </row>
    <row r="109" spans="2:16" x14ac:dyDescent="0.45">
      <c r="B109" s="289"/>
    </row>
    <row r="110" spans="2:16" x14ac:dyDescent="0.45">
      <c r="B110" s="289"/>
    </row>
    <row r="111" spans="2:16" x14ac:dyDescent="0.45">
      <c r="B111" s="289"/>
    </row>
  </sheetData>
  <mergeCells count="8">
    <mergeCell ref="A88:A90"/>
    <mergeCell ref="A91:A92"/>
    <mergeCell ref="B3:B4"/>
    <mergeCell ref="A47:A53"/>
    <mergeCell ref="A54:A60"/>
    <mergeCell ref="A61:A69"/>
    <mergeCell ref="A70:A81"/>
    <mergeCell ref="A82:A87"/>
  </mergeCells>
  <conditionalFormatting sqref="E13:I13 G24">
    <cfRule type="cellIs" dxfId="6" priority="12" operator="notEqual">
      <formula>#REF!-E$7+#REF!</formula>
    </cfRule>
  </conditionalFormatting>
  <conditionalFormatting sqref="E24">
    <cfRule type="cellIs" dxfId="5" priority="4" operator="notEqual">
      <formula>#REF!-E$7+#REF!</formula>
    </cfRule>
  </conditionalFormatting>
  <conditionalFormatting sqref="F24">
    <cfRule type="cellIs" dxfId="4" priority="3" operator="notEqual">
      <formula>#REF!-F$7+#REF!</formula>
    </cfRule>
  </conditionalFormatting>
  <conditionalFormatting sqref="H24">
    <cfRule type="cellIs" dxfId="3" priority="2" operator="notEqual">
      <formula>#REF!-H$7+#REF!</formula>
    </cfRule>
  </conditionalFormatting>
  <conditionalFormatting sqref="I24">
    <cfRule type="cellIs" dxfId="2" priority="1" operator="notEqual">
      <formula>#REF!-I$7+#REF!</formula>
    </cfRule>
  </conditionalFormatting>
  <dataValidations count="1">
    <dataValidation type="list" allowBlank="1" showInputMessage="1" showErrorMessage="1" sqref="J27">
      <formula1>"пачтпт,тоьбю,апрол"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2:S460"/>
  <sheetViews>
    <sheetView workbookViewId="0">
      <selection activeCell="N18" sqref="N18"/>
    </sheetView>
  </sheetViews>
  <sheetFormatPr defaultColWidth="9.1328125" defaultRowHeight="14.25" x14ac:dyDescent="0.45"/>
  <cols>
    <col min="1" max="1" width="36.33203125" style="1" customWidth="1"/>
    <col min="2" max="2" width="10.53125" style="1" customWidth="1"/>
    <col min="3" max="3" width="4.53125" style="1" customWidth="1"/>
    <col min="4" max="4" width="4.6640625" style="15" customWidth="1"/>
    <col min="5" max="5" width="12" style="1" bestFit="1" customWidth="1"/>
    <col min="6" max="6" width="10.53125" style="1" customWidth="1"/>
    <col min="7" max="7" width="9" style="1" customWidth="1"/>
    <col min="8" max="8" width="9.46484375" style="1" customWidth="1"/>
    <col min="9" max="9" width="10.53125" style="1" customWidth="1"/>
    <col min="10" max="10" width="9.46484375" style="1" customWidth="1"/>
    <col min="11" max="11" width="10.33203125" style="1" customWidth="1"/>
    <col min="12" max="12" width="8.86328125" customWidth="1"/>
    <col min="13" max="18" width="9.1328125" style="1"/>
    <col min="19" max="19" width="10.33203125" style="1" bestFit="1" customWidth="1"/>
    <col min="20" max="16384" width="9.1328125" style="1"/>
  </cols>
  <sheetData>
    <row r="2" spans="1:18" ht="15.4" x14ac:dyDescent="0.45">
      <c r="P2" s="25"/>
      <c r="Q2" s="26"/>
    </row>
    <row r="4" spans="1:18" ht="15.4" x14ac:dyDescent="0.45">
      <c r="P4" s="27"/>
      <c r="Q4" s="28"/>
    </row>
    <row r="5" spans="1:18" ht="14.65" thickBot="1" x14ac:dyDescent="0.5"/>
    <row r="6" spans="1:18" x14ac:dyDescent="0.45">
      <c r="A6" s="4"/>
      <c r="B6" s="5"/>
      <c r="C6" s="5"/>
      <c r="D6" s="55"/>
      <c r="E6" s="404" t="s">
        <v>0</v>
      </c>
      <c r="F6" s="411" t="s">
        <v>1</v>
      </c>
      <c r="G6" s="412"/>
      <c r="H6" s="413"/>
      <c r="I6" s="411" t="s">
        <v>5</v>
      </c>
      <c r="J6" s="412"/>
      <c r="K6" s="413"/>
      <c r="P6" s="414" t="s">
        <v>27</v>
      </c>
      <c r="Q6" s="415" t="s">
        <v>28</v>
      </c>
      <c r="R6" s="415"/>
    </row>
    <row r="7" spans="1:18" ht="14.65" thickBot="1" x14ac:dyDescent="0.5">
      <c r="A7" s="11"/>
      <c r="B7" s="12"/>
      <c r="C7" s="12"/>
      <c r="D7" s="56"/>
      <c r="E7" s="405"/>
      <c r="F7" s="11" t="s">
        <v>2</v>
      </c>
      <c r="G7" s="110">
        <f>_1!E3</f>
        <v>1.1000000000000001</v>
      </c>
      <c r="H7" s="110">
        <f>_1!F3</f>
        <v>1.2</v>
      </c>
      <c r="I7" s="11" t="s">
        <v>2</v>
      </c>
      <c r="J7" s="110">
        <f>_1!H3</f>
        <v>2.1</v>
      </c>
      <c r="K7" s="111">
        <f>_1!I3</f>
        <v>2.2000000000000002</v>
      </c>
      <c r="P7" s="414"/>
      <c r="Q7" s="22" t="s">
        <v>29</v>
      </c>
      <c r="R7" s="22" t="s">
        <v>30</v>
      </c>
    </row>
    <row r="8" spans="1:18" s="103" customFormat="1" ht="15" customHeight="1" x14ac:dyDescent="0.45">
      <c r="A8" s="146" t="s">
        <v>223</v>
      </c>
      <c r="B8" s="147" t="s">
        <v>224</v>
      </c>
      <c r="C8" s="138"/>
      <c r="D8" s="278"/>
      <c r="E8" s="143">
        <f>IF(E9+E11&gt;0,1,0)</f>
        <v>0</v>
      </c>
      <c r="F8" s="137"/>
      <c r="G8" s="138"/>
      <c r="H8" s="138"/>
      <c r="I8" s="137"/>
      <c r="J8" s="138"/>
      <c r="K8" s="139"/>
      <c r="L8"/>
      <c r="P8" s="124">
        <f>IF(E8=0,0,1)</f>
        <v>0</v>
      </c>
      <c r="Q8" s="125"/>
      <c r="R8" s="125"/>
    </row>
    <row r="9" spans="1:18" s="103" customFormat="1" ht="15" customHeight="1" x14ac:dyDescent="0.45">
      <c r="A9" s="121"/>
      <c r="C9" s="199" t="s">
        <v>195</v>
      </c>
      <c r="D9" s="1" t="s">
        <v>153</v>
      </c>
      <c r="E9" s="334">
        <f>SUMIF(F$7:L$7,"всего",F9:L9)</f>
        <v>0</v>
      </c>
      <c r="F9" s="123">
        <f>SUM(G9:H9)</f>
        <v>0</v>
      </c>
      <c r="G9" s="126">
        <f>IF($B8=_1!E$15,_1!E$16,0)</f>
        <v>0</v>
      </c>
      <c r="H9" s="126">
        <f>IF($B8=_1!F$15,_1!F$16,0)</f>
        <v>0</v>
      </c>
      <c r="I9" s="123">
        <f>SUM(J9:K9)</f>
        <v>0</v>
      </c>
      <c r="J9" s="126">
        <f>IF($B8=_1!H$15,_1!H$16,0)</f>
        <v>0</v>
      </c>
      <c r="K9" s="348">
        <f>IF($B8=_1!I$15,_1!I$16,0)</f>
        <v>0</v>
      </c>
      <c r="L9"/>
      <c r="P9" s="124">
        <f>IF(E9=0,0,1)</f>
        <v>0</v>
      </c>
      <c r="Q9" s="125"/>
      <c r="R9" s="125"/>
    </row>
    <row r="10" spans="1:18" s="103" customFormat="1" ht="15" customHeight="1" x14ac:dyDescent="0.45">
      <c r="A10" s="121"/>
      <c r="C10" s="199" t="s">
        <v>222</v>
      </c>
      <c r="D10" s="1" t="s">
        <v>120</v>
      </c>
      <c r="E10" s="334">
        <f>SUMIF(F$7:L$7,"всего",F10:L10)</f>
        <v>0</v>
      </c>
      <c r="F10" s="123">
        <f>SUM(G10:H10)</f>
        <v>0</v>
      </c>
      <c r="G10" s="103">
        <f>G9*VLOOKUP($B8,'вес заб'!$A$1:$B$16,2,FALSE)</f>
        <v>0</v>
      </c>
      <c r="H10" s="103">
        <f>H9*VLOOKUP($B8,'вес заб'!$A$1:$B$16,2,FALSE)</f>
        <v>0</v>
      </c>
      <c r="I10" s="123">
        <f>SUM(J10:K10)</f>
        <v>0</v>
      </c>
      <c r="J10" s="103">
        <f>J9*VLOOKUP($B8,'вес заб'!$A$1:$B$16,2,FALSE)</f>
        <v>0</v>
      </c>
      <c r="K10" s="119">
        <f>K9*VLOOKUP($B8,'вес заб'!$A$1:$B$16,2,FALSE)</f>
        <v>0</v>
      </c>
      <c r="L10"/>
      <c r="P10" s="124">
        <f t="shared" ref="P10:P190" si="0">IF(E10=0,0,1)</f>
        <v>0</v>
      </c>
      <c r="Q10" s="125"/>
      <c r="R10" s="125"/>
    </row>
    <row r="11" spans="1:18" s="103" customFormat="1" ht="15" customHeight="1" x14ac:dyDescent="0.45">
      <c r="A11" s="123"/>
      <c r="C11" s="199" t="s">
        <v>196</v>
      </c>
      <c r="D11" s="1" t="s">
        <v>153</v>
      </c>
      <c r="E11" s="334">
        <f>SUMIF(F$7:L$7,"всего",F11:L11)</f>
        <v>0</v>
      </c>
      <c r="F11" s="123">
        <f>SUM(G11:H11)</f>
        <v>0</v>
      </c>
      <c r="G11" s="103">
        <f>IF($B8=_1!E$15,_1!E$17,0)</f>
        <v>0</v>
      </c>
      <c r="H11" s="103">
        <f>IF($B8=_1!F$15,_1!F$17,0)</f>
        <v>0</v>
      </c>
      <c r="I11" s="123">
        <f>SUM(J11:K11)</f>
        <v>0</v>
      </c>
      <c r="J11" s="103">
        <f>IF($B8=_1!H$15,_1!H$17,0)</f>
        <v>0</v>
      </c>
      <c r="K11" s="119">
        <f>IF($B8=_1!I$15,_1!I$17,0)</f>
        <v>0</v>
      </c>
      <c r="L11"/>
      <c r="P11" s="124">
        <f t="shared" si="0"/>
        <v>0</v>
      </c>
      <c r="Q11" s="125"/>
      <c r="R11" s="125"/>
    </row>
    <row r="12" spans="1:18" s="103" customFormat="1" ht="15" customHeight="1" x14ac:dyDescent="0.45">
      <c r="A12" s="123"/>
      <c r="C12" s="199" t="s">
        <v>222</v>
      </c>
      <c r="D12" s="1" t="s">
        <v>120</v>
      </c>
      <c r="E12" s="334">
        <f>SUMIF(F$7:L$7,"всего",F12:L12)</f>
        <v>0</v>
      </c>
      <c r="F12" s="123">
        <f>SUM(G12:H12)</f>
        <v>0</v>
      </c>
      <c r="G12" s="103">
        <f>G11*VLOOKUP($B8,'вес заб'!$A$1:$B$16,2,FALSE)</f>
        <v>0</v>
      </c>
      <c r="H12" s="103">
        <f>H11*VLOOKUP($B8,'вес заб'!$A$1:$B$16,2,FALSE)</f>
        <v>0</v>
      </c>
      <c r="I12" s="123">
        <f>SUM(J12:K12)</f>
        <v>0</v>
      </c>
      <c r="J12" s="103">
        <f>J11*VLOOKUP($B8,'вес заб'!$A$1:$B$16,2,FALSE)</f>
        <v>0</v>
      </c>
      <c r="K12" s="119">
        <f>K11*VLOOKUP($B8,'вес заб'!$A$1:$B$16,2,FALSE)</f>
        <v>0</v>
      </c>
      <c r="L12"/>
      <c r="P12" s="124">
        <f t="shared" si="0"/>
        <v>0</v>
      </c>
      <c r="Q12" s="125"/>
      <c r="R12" s="125"/>
    </row>
    <row r="13" spans="1:18" s="103" customFormat="1" ht="15" customHeight="1" x14ac:dyDescent="0.45">
      <c r="A13" s="121" t="s">
        <v>242</v>
      </c>
      <c r="D13" s="199"/>
      <c r="E13" s="141">
        <f>IF((OR(E14&lt;&gt;0,E16&lt;&gt;0,E18&lt;&gt;0,E20&lt;&gt;0,)),1,0)</f>
        <v>0</v>
      </c>
      <c r="F13" s="127"/>
      <c r="G13" s="128"/>
      <c r="H13" s="128"/>
      <c r="I13" s="123"/>
      <c r="J13" s="128"/>
      <c r="K13" s="129"/>
      <c r="L13"/>
      <c r="P13" s="124">
        <f t="shared" si="0"/>
        <v>0</v>
      </c>
      <c r="Q13" s="125"/>
      <c r="R13" s="125"/>
    </row>
    <row r="14" spans="1:18" s="103" customFormat="1" ht="15" customHeight="1" x14ac:dyDescent="0.45">
      <c r="A14" s="409" t="s">
        <v>240</v>
      </c>
      <c r="B14" s="407" t="s">
        <v>195</v>
      </c>
      <c r="C14" s="407"/>
      <c r="D14" s="1" t="s">
        <v>162</v>
      </c>
      <c r="E14" s="334">
        <f>SUMIF(F$7:L$7,"всего",F14:L14)</f>
        <v>0</v>
      </c>
      <c r="F14" s="123">
        <f t="shared" ref="F14:F21" si="1">SUM(G14:H14)</f>
        <v>0</v>
      </c>
      <c r="G14" s="103">
        <f>G9*_1!E$19</f>
        <v>0</v>
      </c>
      <c r="H14" s="103">
        <f>H9*_1!F$19</f>
        <v>0</v>
      </c>
      <c r="I14" s="123">
        <f t="shared" ref="I14:I21" si="2">SUM(J14:K14)</f>
        <v>0</v>
      </c>
      <c r="J14" s="103">
        <f>J9*_1!H$19</f>
        <v>0</v>
      </c>
      <c r="K14" s="119">
        <f>K9*_1!I$19</f>
        <v>0</v>
      </c>
      <c r="L14"/>
      <c r="P14" s="124">
        <f t="shared" si="0"/>
        <v>0</v>
      </c>
      <c r="Q14" s="125"/>
      <c r="R14" s="125"/>
    </row>
    <row r="15" spans="1:18" s="103" customFormat="1" ht="15" customHeight="1" x14ac:dyDescent="0.45">
      <c r="A15" s="410"/>
      <c r="B15" s="407"/>
      <c r="C15" s="407"/>
      <c r="D15" s="1" t="s">
        <v>120</v>
      </c>
      <c r="E15" s="334">
        <f t="shared" ref="E15:E21" si="3">SUMIF(F$7:L$7,"всего",F15:L15)</f>
        <v>0</v>
      </c>
      <c r="F15" s="123">
        <f t="shared" si="1"/>
        <v>0</v>
      </c>
      <c r="G15" s="103">
        <f>ROUND(G14*_1!$E$14*_1!$E$14,1)</f>
        <v>0</v>
      </c>
      <c r="H15" s="103">
        <f>ROUND(H14*_1!$F$14*_1!$F$14,1)</f>
        <v>0</v>
      </c>
      <c r="I15" s="123">
        <f t="shared" si="2"/>
        <v>0</v>
      </c>
      <c r="J15" s="103">
        <f>ROUND(J14*_1!$H$14*_1!$H$14,1)</f>
        <v>0</v>
      </c>
      <c r="K15" s="119">
        <f>ROUND(K14*_1!$I$14*_1!$I$14,1)</f>
        <v>0</v>
      </c>
      <c r="L15"/>
      <c r="P15" s="124">
        <f t="shared" si="0"/>
        <v>0</v>
      </c>
      <c r="Q15" s="125"/>
      <c r="R15" s="125"/>
    </row>
    <row r="16" spans="1:18" s="103" customFormat="1" ht="15" customHeight="1" x14ac:dyDescent="0.45">
      <c r="A16" s="410"/>
      <c r="B16" s="407" t="s">
        <v>196</v>
      </c>
      <c r="C16" s="407"/>
      <c r="D16" s="1" t="s">
        <v>162</v>
      </c>
      <c r="E16" s="334">
        <f t="shared" si="3"/>
        <v>0</v>
      </c>
      <c r="F16" s="123">
        <f t="shared" si="1"/>
        <v>0</v>
      </c>
      <c r="G16" s="103">
        <f>G11*_1!E$19</f>
        <v>0</v>
      </c>
      <c r="H16" s="103">
        <f>H11*_1!F$19</f>
        <v>0</v>
      </c>
      <c r="I16" s="123">
        <f t="shared" si="2"/>
        <v>0</v>
      </c>
      <c r="J16" s="103">
        <f>J11*_1!H$19</f>
        <v>0</v>
      </c>
      <c r="K16" s="119">
        <f>K11*_1!I$19</f>
        <v>0</v>
      </c>
      <c r="L16"/>
      <c r="P16" s="124">
        <f t="shared" si="0"/>
        <v>0</v>
      </c>
      <c r="Q16" s="125"/>
      <c r="R16" s="125"/>
    </row>
    <row r="17" spans="1:18" s="103" customFormat="1" ht="15" customHeight="1" x14ac:dyDescent="0.45">
      <c r="A17" s="410"/>
      <c r="B17" s="407"/>
      <c r="C17" s="407"/>
      <c r="D17" s="1" t="s">
        <v>120</v>
      </c>
      <c r="E17" s="334">
        <f t="shared" si="3"/>
        <v>0</v>
      </c>
      <c r="F17" s="123">
        <f t="shared" si="1"/>
        <v>0</v>
      </c>
      <c r="G17" s="103">
        <f>ROUND(G16*_1!$E$14*_1!$E$14,1)</f>
        <v>0</v>
      </c>
      <c r="H17" s="103">
        <f>ROUND(H16*_1!$F$14*_1!$F$14,1)</f>
        <v>0</v>
      </c>
      <c r="I17" s="123">
        <f t="shared" si="2"/>
        <v>0</v>
      </c>
      <c r="J17" s="103">
        <f>ROUND(J16*_1!$H$14*_1!$H$14,1)</f>
        <v>0</v>
      </c>
      <c r="K17" s="119">
        <f>ROUND(K16*_1!$I$14*_1!$I$14,1)</f>
        <v>0</v>
      </c>
      <c r="L17"/>
      <c r="P17" s="124">
        <f t="shared" si="0"/>
        <v>0</v>
      </c>
      <c r="Q17" s="125"/>
      <c r="R17" s="125"/>
    </row>
    <row r="18" spans="1:18" s="103" customFormat="1" ht="15" customHeight="1" x14ac:dyDescent="0.45">
      <c r="A18" s="409" t="s">
        <v>241</v>
      </c>
      <c r="B18" s="407" t="s">
        <v>195</v>
      </c>
      <c r="C18" s="407"/>
      <c r="D18" s="1" t="s">
        <v>162</v>
      </c>
      <c r="E18" s="334">
        <f t="shared" si="3"/>
        <v>0</v>
      </c>
      <c r="F18" s="123">
        <f t="shared" si="1"/>
        <v>0</v>
      </c>
      <c r="G18" s="103">
        <f>G9*_1!E$20</f>
        <v>0</v>
      </c>
      <c r="H18" s="103">
        <f>H9*_1!F$20</f>
        <v>0</v>
      </c>
      <c r="I18" s="123">
        <f t="shared" si="2"/>
        <v>0</v>
      </c>
      <c r="J18" s="103">
        <f>J9*_1!H$20</f>
        <v>0</v>
      </c>
      <c r="K18" s="119">
        <f>K9*_1!I$20</f>
        <v>0</v>
      </c>
      <c r="L18"/>
      <c r="P18" s="124">
        <f t="shared" si="0"/>
        <v>0</v>
      </c>
      <c r="Q18" s="125"/>
      <c r="R18" s="125"/>
    </row>
    <row r="19" spans="1:18" s="103" customFormat="1" ht="15" customHeight="1" x14ac:dyDescent="0.45">
      <c r="A19" s="410"/>
      <c r="B19" s="407"/>
      <c r="C19" s="407"/>
      <c r="D19" s="1" t="s">
        <v>120</v>
      </c>
      <c r="E19" s="334">
        <f t="shared" si="3"/>
        <v>0</v>
      </c>
      <c r="F19" s="123">
        <f t="shared" si="1"/>
        <v>0</v>
      </c>
      <c r="G19" s="103">
        <f>ROUND(G18*_1!$E$14*_1!$E$14,1)</f>
        <v>0</v>
      </c>
      <c r="H19" s="103">
        <f>ROUND(H18*_1!$F$14*_1!$F$14,1)</f>
        <v>0</v>
      </c>
      <c r="I19" s="123">
        <f t="shared" si="2"/>
        <v>0</v>
      </c>
      <c r="J19" s="103">
        <f>ROUND(J18*_1!$H$14*_1!$H$14,1)</f>
        <v>0</v>
      </c>
      <c r="K19" s="119">
        <f>ROUND(K18*_1!$I$14*_1!$I$14,1)</f>
        <v>0</v>
      </c>
      <c r="L19"/>
      <c r="P19" s="124">
        <f>IF(E19=0,0,1)</f>
        <v>0</v>
      </c>
      <c r="Q19" s="125"/>
      <c r="R19" s="125"/>
    </row>
    <row r="20" spans="1:18" s="103" customFormat="1" ht="15" customHeight="1" x14ac:dyDescent="0.45">
      <c r="A20" s="410"/>
      <c r="B20" s="407" t="s">
        <v>196</v>
      </c>
      <c r="C20" s="407"/>
      <c r="D20" s="1" t="s">
        <v>162</v>
      </c>
      <c r="E20" s="334">
        <f t="shared" si="3"/>
        <v>0</v>
      </c>
      <c r="F20" s="123">
        <f t="shared" si="1"/>
        <v>0</v>
      </c>
      <c r="G20" s="103">
        <f>G11*_1!E$20</f>
        <v>0</v>
      </c>
      <c r="H20" s="103">
        <f>H11*_1!F$20</f>
        <v>0</v>
      </c>
      <c r="I20" s="123">
        <f t="shared" si="2"/>
        <v>0</v>
      </c>
      <c r="J20" s="103">
        <f>J11*_1!H$20</f>
        <v>0</v>
      </c>
      <c r="K20" s="119">
        <f>K11*_1!I$20</f>
        <v>0</v>
      </c>
      <c r="L20"/>
      <c r="P20" s="124">
        <f t="shared" si="0"/>
        <v>0</v>
      </c>
      <c r="Q20" s="125"/>
      <c r="R20" s="125"/>
    </row>
    <row r="21" spans="1:18" s="103" customFormat="1" ht="15" customHeight="1" x14ac:dyDescent="0.45">
      <c r="A21" s="410"/>
      <c r="B21" s="407"/>
      <c r="C21" s="407"/>
      <c r="D21" s="1" t="s">
        <v>120</v>
      </c>
      <c r="E21" s="334">
        <f t="shared" si="3"/>
        <v>0</v>
      </c>
      <c r="F21" s="123">
        <f t="shared" si="1"/>
        <v>0</v>
      </c>
      <c r="G21" s="103">
        <f>ROUND(G20*_1!$E$14*_1!$E$14,1)</f>
        <v>0</v>
      </c>
      <c r="H21" s="103">
        <f>ROUND(H20*_1!$F$14*_1!$F$14,1)</f>
        <v>0</v>
      </c>
      <c r="I21" s="123">
        <f t="shared" si="2"/>
        <v>0</v>
      </c>
      <c r="J21" s="103">
        <f>ROUND(J20*_1!$H$14*_1!$H$14,1)</f>
        <v>0</v>
      </c>
      <c r="K21" s="119">
        <f>ROUND(K20*_1!$I$14*_1!$I$14,1)</f>
        <v>0</v>
      </c>
      <c r="L21"/>
      <c r="P21" s="124">
        <f t="shared" si="0"/>
        <v>0</v>
      </c>
      <c r="Q21" s="125"/>
      <c r="R21" s="125"/>
    </row>
    <row r="22" spans="1:18" s="103" customFormat="1" ht="15" customHeight="1" x14ac:dyDescent="0.45">
      <c r="A22" s="136"/>
      <c r="B22" s="406" t="s">
        <v>239</v>
      </c>
      <c r="C22" s="407"/>
      <c r="D22" s="1" t="s">
        <v>162</v>
      </c>
      <c r="E22" s="123">
        <f>E14+E16+E18+E20</f>
        <v>0</v>
      </c>
      <c r="F22" s="123"/>
      <c r="I22" s="123"/>
      <c r="K22" s="119"/>
      <c r="L22"/>
      <c r="P22" s="124">
        <f t="shared" si="0"/>
        <v>0</v>
      </c>
      <c r="Q22" s="125"/>
      <c r="R22" s="125"/>
    </row>
    <row r="23" spans="1:18" s="103" customFormat="1" ht="15" customHeight="1" x14ac:dyDescent="0.45">
      <c r="A23" s="145"/>
      <c r="B23" s="408"/>
      <c r="C23" s="408"/>
      <c r="D23" s="313" t="s">
        <v>120</v>
      </c>
      <c r="E23" s="144">
        <f>E15+E17+E19+E21</f>
        <v>0</v>
      </c>
      <c r="F23" s="144"/>
      <c r="G23" s="140"/>
      <c r="H23" s="140"/>
      <c r="I23" s="144"/>
      <c r="J23" s="140"/>
      <c r="K23" s="142"/>
      <c r="L23"/>
      <c r="P23" s="124">
        <f t="shared" si="0"/>
        <v>0</v>
      </c>
      <c r="Q23" s="125"/>
      <c r="R23" s="125"/>
    </row>
    <row r="24" spans="1:18" s="103" customFormat="1" ht="15" customHeight="1" x14ac:dyDescent="0.45">
      <c r="A24" s="121" t="s">
        <v>223</v>
      </c>
      <c r="B24" s="122" t="s">
        <v>230</v>
      </c>
      <c r="D24" s="1"/>
      <c r="E24" s="143">
        <f>IF(E25+E27&gt;0,1,0)</f>
        <v>0</v>
      </c>
      <c r="F24" s="123"/>
      <c r="I24" s="123"/>
      <c r="K24" s="119"/>
      <c r="L24"/>
      <c r="P24" s="124">
        <f t="shared" si="0"/>
        <v>0</v>
      </c>
      <c r="Q24" s="125"/>
      <c r="R24" s="125"/>
    </row>
    <row r="25" spans="1:18" s="103" customFormat="1" ht="15" customHeight="1" x14ac:dyDescent="0.45">
      <c r="A25" s="121"/>
      <c r="C25" s="199" t="s">
        <v>195</v>
      </c>
      <c r="D25" s="1" t="s">
        <v>153</v>
      </c>
      <c r="E25" s="334">
        <f>SUMIF(F$7:L$7,"всего",F25:L25)</f>
        <v>0</v>
      </c>
      <c r="F25" s="123">
        <f>SUM(G25:H25)</f>
        <v>0</v>
      </c>
      <c r="G25" s="126">
        <f>IF($B24=_1!E$15,_1!E$16,0)</f>
        <v>0</v>
      </c>
      <c r="H25" s="126">
        <f>IF($B24=_1!F$15,_1!F$16,0)</f>
        <v>0</v>
      </c>
      <c r="I25" s="123">
        <f>SUM(J25:K25)</f>
        <v>0</v>
      </c>
      <c r="J25" s="126">
        <f>IF($B24=_1!H$15,_1!H$16,0)</f>
        <v>0</v>
      </c>
      <c r="K25" s="348">
        <f>IF($B24=_1!I$15,_1!I$16,0)</f>
        <v>0</v>
      </c>
      <c r="L25"/>
      <c r="P25" s="124">
        <f t="shared" si="0"/>
        <v>0</v>
      </c>
      <c r="Q25" s="125"/>
      <c r="R25" s="125"/>
    </row>
    <row r="26" spans="1:18" s="103" customFormat="1" ht="15" customHeight="1" x14ac:dyDescent="0.45">
      <c r="A26" s="121"/>
      <c r="C26" s="199" t="s">
        <v>222</v>
      </c>
      <c r="D26" s="1" t="s">
        <v>120</v>
      </c>
      <c r="E26" s="334">
        <f>SUMIF(F$7:L$7,"всего",F26:L26)</f>
        <v>0</v>
      </c>
      <c r="F26" s="123">
        <f>SUM(G26:H26)</f>
        <v>0</v>
      </c>
      <c r="G26" s="103">
        <f>G25*VLOOKUP($B24,'вес заб'!$A$1:$B$16,2,FALSE)</f>
        <v>0</v>
      </c>
      <c r="H26" s="103">
        <f>H25*VLOOKUP($B24,'вес заб'!$A$1:$B$16,2,FALSE)</f>
        <v>0</v>
      </c>
      <c r="I26" s="123">
        <f>SUM(J26:K26)</f>
        <v>0</v>
      </c>
      <c r="J26" s="103">
        <f>J25*VLOOKUP($B24,'вес заб'!$A$1:$B$16,2,FALSE)</f>
        <v>0</v>
      </c>
      <c r="K26" s="119">
        <f>K25*VLOOKUP($B24,'вес заб'!$A$1:$B$16,2,FALSE)</f>
        <v>0</v>
      </c>
      <c r="L26"/>
      <c r="P26" s="124">
        <f t="shared" si="0"/>
        <v>0</v>
      </c>
      <c r="Q26" s="125"/>
      <c r="R26" s="125"/>
    </row>
    <row r="27" spans="1:18" s="103" customFormat="1" ht="15" customHeight="1" x14ac:dyDescent="0.45">
      <c r="A27" s="123"/>
      <c r="C27" s="199" t="s">
        <v>196</v>
      </c>
      <c r="D27" s="1" t="s">
        <v>153</v>
      </c>
      <c r="E27" s="334">
        <f>SUMIF(F$7:L$7,"всего",F27:L27)</f>
        <v>0</v>
      </c>
      <c r="F27" s="123">
        <f>SUM(G27:H27)</f>
        <v>0</v>
      </c>
      <c r="G27" s="103">
        <f>IF($B24=_1!E$15,_1!E$17,0)</f>
        <v>0</v>
      </c>
      <c r="H27" s="103">
        <f>IF($B24=_1!F$15,_1!F$17,0)</f>
        <v>0</v>
      </c>
      <c r="I27" s="123">
        <f>SUM(J27:K27)</f>
        <v>0</v>
      </c>
      <c r="J27" s="103">
        <f>IF($B24=_1!H$15,_1!H$17,0)</f>
        <v>0</v>
      </c>
      <c r="K27" s="119">
        <f>IF($B24=_1!I$15,_1!I$17,0)</f>
        <v>0</v>
      </c>
      <c r="L27"/>
      <c r="P27" s="124">
        <f t="shared" si="0"/>
        <v>0</v>
      </c>
      <c r="Q27" s="125"/>
      <c r="R27" s="125"/>
    </row>
    <row r="28" spans="1:18" s="103" customFormat="1" ht="15" customHeight="1" x14ac:dyDescent="0.45">
      <c r="A28" s="123"/>
      <c r="C28" s="199" t="s">
        <v>222</v>
      </c>
      <c r="D28" s="1" t="s">
        <v>120</v>
      </c>
      <c r="E28" s="334">
        <f>SUMIF(F$7:L$7,"всего",F28:L28)</f>
        <v>0</v>
      </c>
      <c r="F28" s="123">
        <f>SUM(G28:H28)</f>
        <v>0</v>
      </c>
      <c r="G28" s="103">
        <f>G27*VLOOKUP($B24,'вес заб'!$A$1:$B$16,2,FALSE)</f>
        <v>0</v>
      </c>
      <c r="H28" s="103">
        <f>H27*VLOOKUP($B24,'вес заб'!$A$1:$B$16,2,FALSE)</f>
        <v>0</v>
      </c>
      <c r="I28" s="123">
        <f>SUM(J28:K28)</f>
        <v>0</v>
      </c>
      <c r="J28" s="103">
        <f>J27*VLOOKUP($B24,'вес заб'!$A$1:$B$16,2,FALSE)</f>
        <v>0</v>
      </c>
      <c r="K28" s="119">
        <f>K27*VLOOKUP($B24,'вес заб'!$A$1:$B$16,2,FALSE)</f>
        <v>0</v>
      </c>
      <c r="L28"/>
      <c r="P28" s="124">
        <f t="shared" si="0"/>
        <v>0</v>
      </c>
      <c r="Q28" s="125"/>
      <c r="R28" s="125"/>
    </row>
    <row r="29" spans="1:18" s="103" customFormat="1" ht="15" customHeight="1" x14ac:dyDescent="0.45">
      <c r="A29" s="121" t="s">
        <v>242</v>
      </c>
      <c r="D29" s="199"/>
      <c r="E29" s="141">
        <f>IF((OR(E30&lt;&gt;0,E32&lt;&gt;0,E34&lt;&gt;0,E36&lt;&gt;0,)),1,0)</f>
        <v>0</v>
      </c>
      <c r="F29" s="127"/>
      <c r="G29" s="128"/>
      <c r="H29" s="128"/>
      <c r="I29" s="123"/>
      <c r="J29" s="128"/>
      <c r="K29" s="129"/>
      <c r="L29"/>
      <c r="P29" s="124">
        <f t="shared" si="0"/>
        <v>0</v>
      </c>
      <c r="Q29" s="125"/>
      <c r="R29" s="125"/>
    </row>
    <row r="30" spans="1:18" s="103" customFormat="1" ht="15" customHeight="1" x14ac:dyDescent="0.45">
      <c r="A30" s="409" t="s">
        <v>240</v>
      </c>
      <c r="B30" s="407" t="s">
        <v>195</v>
      </c>
      <c r="C30" s="407"/>
      <c r="D30" s="1" t="s">
        <v>162</v>
      </c>
      <c r="E30" s="334">
        <f>SUMIF(F$7:L$7,"всего",F30:L30)</f>
        <v>0</v>
      </c>
      <c r="F30" s="123">
        <f t="shared" ref="F30:F37" si="4">SUM(G30:H30)</f>
        <v>0</v>
      </c>
      <c r="G30" s="103">
        <f>G25*_1!E$19</f>
        <v>0</v>
      </c>
      <c r="H30" s="103">
        <f>H25*_1!F$19</f>
        <v>0</v>
      </c>
      <c r="I30" s="123">
        <f t="shared" ref="I30:I37" si="5">SUM(J30:K30)</f>
        <v>0</v>
      </c>
      <c r="J30" s="103">
        <f>J25*_1!H$19</f>
        <v>0</v>
      </c>
      <c r="K30" s="119">
        <f>K25*_1!I$19</f>
        <v>0</v>
      </c>
      <c r="L30"/>
      <c r="P30" s="124">
        <f t="shared" si="0"/>
        <v>0</v>
      </c>
      <c r="Q30" s="125"/>
      <c r="R30" s="125"/>
    </row>
    <row r="31" spans="1:18" s="103" customFormat="1" ht="15" customHeight="1" x14ac:dyDescent="0.45">
      <c r="A31" s="410"/>
      <c r="B31" s="407"/>
      <c r="C31" s="407"/>
      <c r="D31" s="1" t="s">
        <v>120</v>
      </c>
      <c r="E31" s="334">
        <f t="shared" ref="E31:E37" si="6">SUMIF(F$7:L$7,"всего",F31:L31)</f>
        <v>0</v>
      </c>
      <c r="F31" s="123">
        <f t="shared" si="4"/>
        <v>0</v>
      </c>
      <c r="G31" s="103">
        <f>ROUND(G30*_1!$E$14*_1!$E$14,1)</f>
        <v>0</v>
      </c>
      <c r="H31" s="103">
        <f>ROUND(H30*_1!$F$14*_1!$F$14,1)</f>
        <v>0</v>
      </c>
      <c r="I31" s="123">
        <f t="shared" si="5"/>
        <v>0</v>
      </c>
      <c r="J31" s="103">
        <f>ROUND(J30*_1!$H$14*_1!$H$14,1)</f>
        <v>0</v>
      </c>
      <c r="K31" s="119">
        <f>ROUND(K30*_1!$I$14*_1!$I$14,1)</f>
        <v>0</v>
      </c>
      <c r="L31"/>
      <c r="P31" s="124">
        <f t="shared" si="0"/>
        <v>0</v>
      </c>
      <c r="Q31" s="125"/>
      <c r="R31" s="125"/>
    </row>
    <row r="32" spans="1:18" s="103" customFormat="1" ht="15" customHeight="1" x14ac:dyDescent="0.45">
      <c r="A32" s="410"/>
      <c r="B32" s="407" t="s">
        <v>196</v>
      </c>
      <c r="C32" s="407"/>
      <c r="D32" s="1" t="s">
        <v>162</v>
      </c>
      <c r="E32" s="334">
        <f t="shared" si="6"/>
        <v>0</v>
      </c>
      <c r="F32" s="123">
        <f t="shared" si="4"/>
        <v>0</v>
      </c>
      <c r="G32" s="103">
        <f>G27*_1!E$19</f>
        <v>0</v>
      </c>
      <c r="H32" s="103">
        <f>H27*_1!F$19</f>
        <v>0</v>
      </c>
      <c r="I32" s="123">
        <f t="shared" si="5"/>
        <v>0</v>
      </c>
      <c r="J32" s="103">
        <f>J27*_1!H$19</f>
        <v>0</v>
      </c>
      <c r="K32" s="119">
        <f>K27*_1!I$19</f>
        <v>0</v>
      </c>
      <c r="L32"/>
      <c r="P32" s="124">
        <f t="shared" si="0"/>
        <v>0</v>
      </c>
      <c r="Q32" s="125"/>
      <c r="R32" s="125"/>
    </row>
    <row r="33" spans="1:18" s="103" customFormat="1" ht="15" customHeight="1" x14ac:dyDescent="0.45">
      <c r="A33" s="410"/>
      <c r="B33" s="407"/>
      <c r="C33" s="407"/>
      <c r="D33" s="1" t="s">
        <v>120</v>
      </c>
      <c r="E33" s="334">
        <f t="shared" si="6"/>
        <v>0</v>
      </c>
      <c r="F33" s="123">
        <f t="shared" si="4"/>
        <v>0</v>
      </c>
      <c r="G33" s="103">
        <f>ROUND(G32*_1!$E$14*_1!$E$14,1)</f>
        <v>0</v>
      </c>
      <c r="H33" s="103">
        <f>ROUND(H32*_1!$F$14*_1!$F$14,1)</f>
        <v>0</v>
      </c>
      <c r="I33" s="123">
        <f t="shared" si="5"/>
        <v>0</v>
      </c>
      <c r="J33" s="103">
        <f>ROUND(J32*_1!$H$14*_1!$H$14,1)</f>
        <v>0</v>
      </c>
      <c r="K33" s="119">
        <f>ROUND(K32*_1!$I$14*_1!$I$14,1)</f>
        <v>0</v>
      </c>
      <c r="L33"/>
      <c r="P33" s="124">
        <f t="shared" si="0"/>
        <v>0</v>
      </c>
      <c r="Q33" s="125"/>
      <c r="R33" s="125"/>
    </row>
    <row r="34" spans="1:18" s="103" customFormat="1" ht="15" customHeight="1" x14ac:dyDescent="0.45">
      <c r="A34" s="409" t="s">
        <v>241</v>
      </c>
      <c r="B34" s="407" t="s">
        <v>195</v>
      </c>
      <c r="C34" s="407"/>
      <c r="D34" s="1" t="s">
        <v>162</v>
      </c>
      <c r="E34" s="334">
        <f t="shared" si="6"/>
        <v>0</v>
      </c>
      <c r="F34" s="123">
        <f t="shared" si="4"/>
        <v>0</v>
      </c>
      <c r="G34" s="103">
        <f>G25*_1!E$20</f>
        <v>0</v>
      </c>
      <c r="H34" s="103">
        <f>H25*_1!F$20</f>
        <v>0</v>
      </c>
      <c r="I34" s="123">
        <f t="shared" si="5"/>
        <v>0</v>
      </c>
      <c r="J34" s="103">
        <f>J25*_1!H$20</f>
        <v>0</v>
      </c>
      <c r="K34" s="119">
        <f>K25*_1!I$20</f>
        <v>0</v>
      </c>
      <c r="L34"/>
      <c r="P34" s="124">
        <f t="shared" si="0"/>
        <v>0</v>
      </c>
      <c r="Q34" s="125"/>
      <c r="R34" s="125"/>
    </row>
    <row r="35" spans="1:18" s="103" customFormat="1" ht="15" customHeight="1" x14ac:dyDescent="0.45">
      <c r="A35" s="410"/>
      <c r="B35" s="407"/>
      <c r="C35" s="407"/>
      <c r="D35" s="1" t="s">
        <v>120</v>
      </c>
      <c r="E35" s="334">
        <f t="shared" si="6"/>
        <v>0</v>
      </c>
      <c r="F35" s="123">
        <f t="shared" si="4"/>
        <v>0</v>
      </c>
      <c r="G35" s="103">
        <f>ROUND(G34*_1!$E$14*_1!$E$14,1)</f>
        <v>0</v>
      </c>
      <c r="H35" s="103">
        <f>ROUND(H34*_1!$F$14*_1!$F$14,1)</f>
        <v>0</v>
      </c>
      <c r="I35" s="123">
        <f t="shared" si="5"/>
        <v>0</v>
      </c>
      <c r="J35" s="103">
        <f>ROUND(J34*_1!$H$14*_1!$H$14,1)</f>
        <v>0</v>
      </c>
      <c r="K35" s="119">
        <f>ROUND(K34*_1!$I$14*_1!$I$14,1)</f>
        <v>0</v>
      </c>
      <c r="L35"/>
      <c r="P35" s="124">
        <f t="shared" si="0"/>
        <v>0</v>
      </c>
      <c r="Q35" s="125"/>
      <c r="R35" s="125"/>
    </row>
    <row r="36" spans="1:18" s="103" customFormat="1" ht="15" customHeight="1" x14ac:dyDescent="0.45">
      <c r="A36" s="410"/>
      <c r="B36" s="407" t="s">
        <v>196</v>
      </c>
      <c r="C36" s="407"/>
      <c r="D36" s="1" t="s">
        <v>162</v>
      </c>
      <c r="E36" s="334">
        <f t="shared" si="6"/>
        <v>0</v>
      </c>
      <c r="F36" s="123">
        <f t="shared" si="4"/>
        <v>0</v>
      </c>
      <c r="G36" s="103">
        <f>G27*_1!E$20</f>
        <v>0</v>
      </c>
      <c r="H36" s="103">
        <f>H27*_1!F$20</f>
        <v>0</v>
      </c>
      <c r="I36" s="123">
        <f t="shared" si="5"/>
        <v>0</v>
      </c>
      <c r="J36" s="103">
        <f>J27*_1!H$20</f>
        <v>0</v>
      </c>
      <c r="K36" s="119">
        <f>K27*_1!I$20</f>
        <v>0</v>
      </c>
      <c r="L36"/>
      <c r="P36" s="124">
        <f t="shared" si="0"/>
        <v>0</v>
      </c>
      <c r="Q36" s="125"/>
      <c r="R36" s="125"/>
    </row>
    <row r="37" spans="1:18" s="103" customFormat="1" ht="15" customHeight="1" x14ac:dyDescent="0.45">
      <c r="A37" s="410"/>
      <c r="B37" s="407"/>
      <c r="C37" s="407"/>
      <c r="D37" s="1" t="s">
        <v>120</v>
      </c>
      <c r="E37" s="334">
        <f t="shared" si="6"/>
        <v>0</v>
      </c>
      <c r="F37" s="123">
        <f t="shared" si="4"/>
        <v>0</v>
      </c>
      <c r="G37" s="103">
        <f>ROUND(G36*_1!$E$14*_1!$E$14,1)</f>
        <v>0</v>
      </c>
      <c r="H37" s="103">
        <f>ROUND(H36*_1!$F$14*_1!$F$14,1)</f>
        <v>0</v>
      </c>
      <c r="I37" s="123">
        <f t="shared" si="5"/>
        <v>0</v>
      </c>
      <c r="J37" s="103">
        <f>ROUND(J36*_1!$H$14*_1!$H$14,1)</f>
        <v>0</v>
      </c>
      <c r="K37" s="119">
        <f>ROUND(K36*_1!$I$14*_1!$I$14,1)</f>
        <v>0</v>
      </c>
      <c r="L37"/>
      <c r="P37" s="124">
        <f t="shared" si="0"/>
        <v>0</v>
      </c>
      <c r="Q37" s="125"/>
      <c r="R37" s="125"/>
    </row>
    <row r="38" spans="1:18" s="103" customFormat="1" ht="15" customHeight="1" x14ac:dyDescent="0.45">
      <c r="A38" s="136"/>
      <c r="B38" s="406" t="s">
        <v>239</v>
      </c>
      <c r="C38" s="407"/>
      <c r="D38" s="1" t="s">
        <v>162</v>
      </c>
      <c r="E38" s="123">
        <f>E30+E32+E34+E36</f>
        <v>0</v>
      </c>
      <c r="F38" s="123"/>
      <c r="I38" s="123"/>
      <c r="K38" s="119"/>
      <c r="L38"/>
      <c r="P38" s="124">
        <f t="shared" si="0"/>
        <v>0</v>
      </c>
      <c r="Q38" s="125"/>
      <c r="R38" s="125"/>
    </row>
    <row r="39" spans="1:18" s="103" customFormat="1" ht="15" customHeight="1" x14ac:dyDescent="0.45">
      <c r="A39" s="145"/>
      <c r="B39" s="408"/>
      <c r="C39" s="408"/>
      <c r="D39" s="313" t="s">
        <v>120</v>
      </c>
      <c r="E39" s="144">
        <f>E31+E33+E35+E37</f>
        <v>0</v>
      </c>
      <c r="F39" s="144"/>
      <c r="G39" s="140"/>
      <c r="H39" s="140"/>
      <c r="I39" s="144"/>
      <c r="J39" s="140"/>
      <c r="K39" s="142"/>
      <c r="L39"/>
      <c r="P39" s="124">
        <f t="shared" si="0"/>
        <v>0</v>
      </c>
      <c r="Q39" s="125"/>
      <c r="R39" s="125"/>
    </row>
    <row r="40" spans="1:18" s="103" customFormat="1" ht="15" customHeight="1" x14ac:dyDescent="0.45">
      <c r="A40" s="121" t="s">
        <v>202</v>
      </c>
      <c r="B40" s="122" t="s">
        <v>231</v>
      </c>
      <c r="D40" s="1"/>
      <c r="E40" s="143">
        <f>IF(E41+E43&gt;0,1,0)</f>
        <v>0</v>
      </c>
      <c r="F40" s="123"/>
      <c r="I40" s="123"/>
      <c r="K40" s="119"/>
      <c r="L40"/>
      <c r="P40" s="124">
        <f t="shared" si="0"/>
        <v>0</v>
      </c>
      <c r="Q40" s="125"/>
      <c r="R40" s="125"/>
    </row>
    <row r="41" spans="1:18" s="103" customFormat="1" ht="15" customHeight="1" x14ac:dyDescent="0.45">
      <c r="A41" s="121"/>
      <c r="C41" s="199" t="s">
        <v>195</v>
      </c>
      <c r="D41" s="1" t="s">
        <v>153</v>
      </c>
      <c r="E41" s="334">
        <f>SUMIF(F$7:L$7,"всего",F41:L41)</f>
        <v>0</v>
      </c>
      <c r="F41" s="123">
        <f>SUM(G41:H41)</f>
        <v>0</v>
      </c>
      <c r="G41" s="126">
        <f>IF($B40=_1!E$15,_1!E$16,0)</f>
        <v>0</v>
      </c>
      <c r="H41" s="126">
        <f>IF($B40=_1!F$15,_1!F$16,0)</f>
        <v>0</v>
      </c>
      <c r="I41" s="123">
        <f>SUM(J41:K41)</f>
        <v>0</v>
      </c>
      <c r="J41" s="126">
        <f>IF($B40=_1!H$15,_1!H$16,0)</f>
        <v>0</v>
      </c>
      <c r="K41" s="348">
        <f>IF($B40=_1!I$15,_1!I$16,0)</f>
        <v>0</v>
      </c>
      <c r="L41"/>
      <c r="P41" s="124">
        <f t="shared" si="0"/>
        <v>0</v>
      </c>
      <c r="Q41" s="125"/>
      <c r="R41" s="125"/>
    </row>
    <row r="42" spans="1:18" s="103" customFormat="1" ht="15" customHeight="1" x14ac:dyDescent="0.45">
      <c r="A42" s="121"/>
      <c r="C42" s="199" t="s">
        <v>222</v>
      </c>
      <c r="D42" s="1" t="s">
        <v>120</v>
      </c>
      <c r="E42" s="334">
        <f>SUMIF(F$7:L$7,"всего",F42:L42)</f>
        <v>0</v>
      </c>
      <c r="F42" s="123">
        <f>SUM(G42:H42)</f>
        <v>0</v>
      </c>
      <c r="G42" s="103">
        <f>G41*VLOOKUP($B40,'вес заб'!$A$1:$B$16,2,FALSE)</f>
        <v>0</v>
      </c>
      <c r="H42" s="103">
        <f>H41*VLOOKUP($B40,'вес заб'!$A$1:$B$16,2,FALSE)</f>
        <v>0</v>
      </c>
      <c r="I42" s="123">
        <f>SUM(J42:K42)</f>
        <v>0</v>
      </c>
      <c r="J42" s="103">
        <f>J41*VLOOKUP($B40,'вес заб'!$A$1:$B$16,2,FALSE)</f>
        <v>0</v>
      </c>
      <c r="K42" s="119">
        <f>K41*VLOOKUP($B40,'вес заб'!$A$1:$B$16,2,FALSE)</f>
        <v>0</v>
      </c>
      <c r="L42"/>
      <c r="P42" s="124">
        <f t="shared" si="0"/>
        <v>0</v>
      </c>
      <c r="Q42" s="125"/>
      <c r="R42" s="125"/>
    </row>
    <row r="43" spans="1:18" s="103" customFormat="1" ht="15" customHeight="1" x14ac:dyDescent="0.45">
      <c r="A43" s="123"/>
      <c r="C43" s="199" t="s">
        <v>196</v>
      </c>
      <c r="D43" s="1" t="s">
        <v>153</v>
      </c>
      <c r="E43" s="334">
        <f>SUMIF(F$7:L$7,"всего",F43:L43)</f>
        <v>0</v>
      </c>
      <c r="F43" s="123">
        <f>SUM(G43:H43)</f>
        <v>0</v>
      </c>
      <c r="G43" s="103">
        <f>IF($B40=_1!E$15,_1!E$17,0)</f>
        <v>0</v>
      </c>
      <c r="H43" s="103">
        <f>IF($B40=_1!F$15,_1!F$17,0)</f>
        <v>0</v>
      </c>
      <c r="I43" s="123">
        <f>SUM(J43:K43)</f>
        <v>0</v>
      </c>
      <c r="J43" s="103">
        <f>IF($B40=_1!H$15,_1!H$17,0)</f>
        <v>0</v>
      </c>
      <c r="K43" s="119">
        <f>IF($B40=_1!I$15,_1!I$17,0)</f>
        <v>0</v>
      </c>
      <c r="L43"/>
      <c r="P43" s="124">
        <f t="shared" si="0"/>
        <v>0</v>
      </c>
      <c r="Q43" s="125"/>
      <c r="R43" s="125"/>
    </row>
    <row r="44" spans="1:18" s="103" customFormat="1" ht="15" customHeight="1" x14ac:dyDescent="0.45">
      <c r="A44" s="123"/>
      <c r="C44" s="199" t="s">
        <v>222</v>
      </c>
      <c r="D44" s="1" t="s">
        <v>120</v>
      </c>
      <c r="E44" s="334">
        <f>SUMIF(F$7:L$7,"всего",F44:L44)</f>
        <v>0</v>
      </c>
      <c r="F44" s="123">
        <f>SUM(G44:H44)</f>
        <v>0</v>
      </c>
      <c r="G44" s="103">
        <f>G43*VLOOKUP($B40,'вес заб'!$A$1:$B$16,2,FALSE)</f>
        <v>0</v>
      </c>
      <c r="H44" s="103">
        <f>H43*VLOOKUP($B40,'вес заб'!$A$1:$B$16,2,FALSE)</f>
        <v>0</v>
      </c>
      <c r="I44" s="123">
        <f>SUM(J44:K44)</f>
        <v>0</v>
      </c>
      <c r="J44" s="103">
        <f>J43*VLOOKUP($B40,'вес заб'!$A$1:$B$16,2,FALSE)</f>
        <v>0</v>
      </c>
      <c r="K44" s="119">
        <f>K43*VLOOKUP($B40,'вес заб'!$A$1:$B$16,2,FALSE)</f>
        <v>0</v>
      </c>
      <c r="L44"/>
      <c r="P44" s="124">
        <f t="shared" si="0"/>
        <v>0</v>
      </c>
      <c r="Q44" s="125"/>
      <c r="R44" s="125"/>
    </row>
    <row r="45" spans="1:18" s="103" customFormat="1" ht="15" customHeight="1" x14ac:dyDescent="0.45">
      <c r="A45" s="121" t="s">
        <v>242</v>
      </c>
      <c r="D45" s="199"/>
      <c r="E45" s="141">
        <f>IF((OR(E46&lt;&gt;0,E48&lt;&gt;0,E50&lt;&gt;0,E52&lt;&gt;0,)),1,0)</f>
        <v>0</v>
      </c>
      <c r="F45" s="127"/>
      <c r="G45" s="128"/>
      <c r="H45" s="128"/>
      <c r="I45" s="123"/>
      <c r="J45" s="128"/>
      <c r="K45" s="129"/>
      <c r="L45"/>
      <c r="P45" s="124">
        <f t="shared" si="0"/>
        <v>0</v>
      </c>
      <c r="Q45" s="125"/>
      <c r="R45" s="125"/>
    </row>
    <row r="46" spans="1:18" s="103" customFormat="1" ht="15" customHeight="1" x14ac:dyDescent="0.45">
      <c r="A46" s="409" t="s">
        <v>240</v>
      </c>
      <c r="B46" s="407" t="s">
        <v>195</v>
      </c>
      <c r="C46" s="407"/>
      <c r="D46" s="1" t="s">
        <v>162</v>
      </c>
      <c r="E46" s="334">
        <f>SUMIF(F$7:L$7,"всего",F46:L46)</f>
        <v>0</v>
      </c>
      <c r="F46" s="123">
        <f t="shared" ref="F46:F53" si="7">SUM(G46:H46)</f>
        <v>0</v>
      </c>
      <c r="G46" s="103">
        <f>G41*_1!E$19</f>
        <v>0</v>
      </c>
      <c r="H46" s="103">
        <f>H41*_1!F$19</f>
        <v>0</v>
      </c>
      <c r="I46" s="123">
        <f t="shared" ref="I46:I53" si="8">SUM(J46:K46)</f>
        <v>0</v>
      </c>
      <c r="J46" s="103">
        <f>J41*_1!H$19</f>
        <v>0</v>
      </c>
      <c r="K46" s="119">
        <f>K41*_1!I$19</f>
        <v>0</v>
      </c>
      <c r="L46"/>
      <c r="P46" s="124">
        <f t="shared" si="0"/>
        <v>0</v>
      </c>
      <c r="Q46" s="125"/>
      <c r="R46" s="125"/>
    </row>
    <row r="47" spans="1:18" s="103" customFormat="1" ht="15" customHeight="1" x14ac:dyDescent="0.45">
      <c r="A47" s="410"/>
      <c r="B47" s="407"/>
      <c r="C47" s="407"/>
      <c r="D47" s="1" t="s">
        <v>120</v>
      </c>
      <c r="E47" s="334">
        <f t="shared" ref="E47:E53" si="9">SUMIF(F$7:L$7,"всего",F47:L47)</f>
        <v>0</v>
      </c>
      <c r="F47" s="123">
        <f t="shared" si="7"/>
        <v>0</v>
      </c>
      <c r="G47" s="103">
        <f>ROUND(G46*_1!$E$14*_1!$E$14,1)</f>
        <v>0</v>
      </c>
      <c r="H47" s="103">
        <f>ROUND(H46*_1!$F$14*_1!$F$14,1)</f>
        <v>0</v>
      </c>
      <c r="I47" s="123">
        <f t="shared" si="8"/>
        <v>0</v>
      </c>
      <c r="J47" s="103">
        <f>ROUND(J46*_1!$H$14*_1!$H$14,1)</f>
        <v>0</v>
      </c>
      <c r="K47" s="119">
        <f>ROUND(K46*_1!$I$14*_1!$I$14,1)</f>
        <v>0</v>
      </c>
      <c r="L47"/>
      <c r="P47" s="124">
        <f t="shared" si="0"/>
        <v>0</v>
      </c>
      <c r="Q47" s="125"/>
      <c r="R47" s="125"/>
    </row>
    <row r="48" spans="1:18" s="103" customFormat="1" ht="15" customHeight="1" x14ac:dyDescent="0.45">
      <c r="A48" s="410"/>
      <c r="B48" s="407" t="s">
        <v>196</v>
      </c>
      <c r="C48" s="407"/>
      <c r="D48" s="1" t="s">
        <v>162</v>
      </c>
      <c r="E48" s="334">
        <f t="shared" si="9"/>
        <v>0</v>
      </c>
      <c r="F48" s="123">
        <f t="shared" si="7"/>
        <v>0</v>
      </c>
      <c r="G48" s="103">
        <f>G43*_1!E$19</f>
        <v>0</v>
      </c>
      <c r="H48" s="103">
        <f>H43*_1!F$19</f>
        <v>0</v>
      </c>
      <c r="I48" s="123">
        <f t="shared" si="8"/>
        <v>0</v>
      </c>
      <c r="J48" s="103">
        <f>J43*_1!H$19</f>
        <v>0</v>
      </c>
      <c r="K48" s="119">
        <f>K43*_1!I$19</f>
        <v>0</v>
      </c>
      <c r="L48"/>
      <c r="P48" s="124">
        <f t="shared" si="0"/>
        <v>0</v>
      </c>
      <c r="Q48" s="125"/>
      <c r="R48" s="125"/>
    </row>
    <row r="49" spans="1:18" s="103" customFormat="1" ht="15" customHeight="1" x14ac:dyDescent="0.45">
      <c r="A49" s="410"/>
      <c r="B49" s="407"/>
      <c r="C49" s="407"/>
      <c r="D49" s="1" t="s">
        <v>120</v>
      </c>
      <c r="E49" s="334">
        <f t="shared" si="9"/>
        <v>0</v>
      </c>
      <c r="F49" s="123">
        <f t="shared" si="7"/>
        <v>0</v>
      </c>
      <c r="G49" s="103">
        <f>ROUND(G48*_1!$E$14*_1!$E$14,1)</f>
        <v>0</v>
      </c>
      <c r="H49" s="103">
        <f>ROUND(H48*_1!$F$14*_1!$F$14,1)</f>
        <v>0</v>
      </c>
      <c r="I49" s="123">
        <f t="shared" si="8"/>
        <v>0</v>
      </c>
      <c r="J49" s="103">
        <f>ROUND(J48*_1!$H$14*_1!$H$14,1)</f>
        <v>0</v>
      </c>
      <c r="K49" s="119">
        <f>ROUND(K48*_1!$I$14*_1!$I$14,1)</f>
        <v>0</v>
      </c>
      <c r="L49"/>
      <c r="P49" s="124">
        <f t="shared" si="0"/>
        <v>0</v>
      </c>
      <c r="Q49" s="125"/>
      <c r="R49" s="125"/>
    </row>
    <row r="50" spans="1:18" s="103" customFormat="1" ht="15" customHeight="1" x14ac:dyDescent="0.45">
      <c r="A50" s="409" t="s">
        <v>241</v>
      </c>
      <c r="B50" s="407" t="s">
        <v>195</v>
      </c>
      <c r="C50" s="407"/>
      <c r="D50" s="1" t="s">
        <v>162</v>
      </c>
      <c r="E50" s="334">
        <f t="shared" si="9"/>
        <v>0</v>
      </c>
      <c r="F50" s="123">
        <f t="shared" si="7"/>
        <v>0</v>
      </c>
      <c r="G50" s="103">
        <f>G41*_1!E$20</f>
        <v>0</v>
      </c>
      <c r="H50" s="103">
        <f>H41*_1!F$20</f>
        <v>0</v>
      </c>
      <c r="I50" s="123">
        <f t="shared" si="8"/>
        <v>0</v>
      </c>
      <c r="J50" s="103">
        <f>J41*_1!H$20</f>
        <v>0</v>
      </c>
      <c r="K50" s="119">
        <f>K41*_1!I$20</f>
        <v>0</v>
      </c>
      <c r="L50"/>
      <c r="P50" s="124">
        <f t="shared" si="0"/>
        <v>0</v>
      </c>
      <c r="Q50" s="125"/>
      <c r="R50" s="125"/>
    </row>
    <row r="51" spans="1:18" s="103" customFormat="1" ht="15" customHeight="1" x14ac:dyDescent="0.45">
      <c r="A51" s="410"/>
      <c r="B51" s="407"/>
      <c r="C51" s="407"/>
      <c r="D51" s="1" t="s">
        <v>120</v>
      </c>
      <c r="E51" s="334">
        <f t="shared" si="9"/>
        <v>0</v>
      </c>
      <c r="F51" s="123">
        <f t="shared" si="7"/>
        <v>0</v>
      </c>
      <c r="G51" s="103">
        <f>ROUND(G50*_1!$E$14*_1!$E$14,1)</f>
        <v>0</v>
      </c>
      <c r="H51" s="103">
        <f>ROUND(H50*_1!$F$14*_1!$F$14,1)</f>
        <v>0</v>
      </c>
      <c r="I51" s="123">
        <f t="shared" si="8"/>
        <v>0</v>
      </c>
      <c r="J51" s="103">
        <f>ROUND(J50*_1!$H$14*_1!$H$14,1)</f>
        <v>0</v>
      </c>
      <c r="K51" s="119">
        <f>ROUND(K50*_1!$I$14*_1!$I$14,1)</f>
        <v>0</v>
      </c>
      <c r="L51"/>
      <c r="P51" s="124">
        <f t="shared" si="0"/>
        <v>0</v>
      </c>
      <c r="Q51" s="125"/>
      <c r="R51" s="125"/>
    </row>
    <row r="52" spans="1:18" s="103" customFormat="1" ht="15" customHeight="1" x14ac:dyDescent="0.45">
      <c r="A52" s="410"/>
      <c r="B52" s="407" t="s">
        <v>196</v>
      </c>
      <c r="C52" s="407"/>
      <c r="D52" s="1" t="s">
        <v>162</v>
      </c>
      <c r="E52" s="334">
        <f t="shared" si="9"/>
        <v>0</v>
      </c>
      <c r="F52" s="123">
        <f t="shared" si="7"/>
        <v>0</v>
      </c>
      <c r="G52" s="103">
        <f>G43*_1!E$20</f>
        <v>0</v>
      </c>
      <c r="H52" s="103">
        <f>H43*_1!F$20</f>
        <v>0</v>
      </c>
      <c r="I52" s="123">
        <f t="shared" si="8"/>
        <v>0</v>
      </c>
      <c r="J52" s="103">
        <f>J43*_1!H$20</f>
        <v>0</v>
      </c>
      <c r="K52" s="119">
        <f>K43*_1!I$20</f>
        <v>0</v>
      </c>
      <c r="L52"/>
      <c r="P52" s="124">
        <f t="shared" si="0"/>
        <v>0</v>
      </c>
      <c r="Q52" s="125"/>
      <c r="R52" s="125"/>
    </row>
    <row r="53" spans="1:18" s="103" customFormat="1" ht="15" customHeight="1" x14ac:dyDescent="0.45">
      <c r="A53" s="410"/>
      <c r="B53" s="407"/>
      <c r="C53" s="407"/>
      <c r="D53" s="1" t="s">
        <v>120</v>
      </c>
      <c r="E53" s="334">
        <f t="shared" si="9"/>
        <v>0</v>
      </c>
      <c r="F53" s="123">
        <f t="shared" si="7"/>
        <v>0</v>
      </c>
      <c r="G53" s="103">
        <f>ROUND(G52*_1!$E$14*_1!$E$14,1)</f>
        <v>0</v>
      </c>
      <c r="H53" s="103">
        <f>ROUND(H52*_1!$F$14*_1!$F$14,1)</f>
        <v>0</v>
      </c>
      <c r="I53" s="123">
        <f t="shared" si="8"/>
        <v>0</v>
      </c>
      <c r="J53" s="103">
        <f>ROUND(J52*_1!$H$14*_1!$H$14,1)</f>
        <v>0</v>
      </c>
      <c r="K53" s="119">
        <f>ROUND(K52*_1!$I$14*_1!$I$14,1)</f>
        <v>0</v>
      </c>
      <c r="L53"/>
      <c r="P53" s="124">
        <f t="shared" si="0"/>
        <v>0</v>
      </c>
      <c r="Q53" s="125"/>
      <c r="R53" s="125"/>
    </row>
    <row r="54" spans="1:18" s="103" customFormat="1" ht="15" customHeight="1" x14ac:dyDescent="0.45">
      <c r="A54" s="136"/>
      <c r="B54" s="406" t="s">
        <v>239</v>
      </c>
      <c r="C54" s="407"/>
      <c r="D54" s="1" t="s">
        <v>162</v>
      </c>
      <c r="E54" s="123">
        <f>E46+E48+E50+E52</f>
        <v>0</v>
      </c>
      <c r="F54" s="123"/>
      <c r="I54" s="123"/>
      <c r="K54" s="119"/>
      <c r="L54"/>
      <c r="P54" s="124">
        <f t="shared" si="0"/>
        <v>0</v>
      </c>
      <c r="Q54" s="125"/>
      <c r="R54" s="125"/>
    </row>
    <row r="55" spans="1:18" s="103" customFormat="1" ht="15" customHeight="1" x14ac:dyDescent="0.45">
      <c r="A55" s="145"/>
      <c r="B55" s="408"/>
      <c r="C55" s="408"/>
      <c r="D55" s="313" t="s">
        <v>120</v>
      </c>
      <c r="E55" s="144">
        <f>E47+E49+E51+E53</f>
        <v>0</v>
      </c>
      <c r="F55" s="144"/>
      <c r="G55" s="140"/>
      <c r="H55" s="140"/>
      <c r="I55" s="144"/>
      <c r="J55" s="140"/>
      <c r="K55" s="142"/>
      <c r="L55"/>
      <c r="P55" s="124">
        <f t="shared" si="0"/>
        <v>0</v>
      </c>
      <c r="Q55" s="125"/>
      <c r="R55" s="125"/>
    </row>
    <row r="56" spans="1:18" s="103" customFormat="1" ht="15" customHeight="1" x14ac:dyDescent="0.45">
      <c r="A56" s="121" t="s">
        <v>202</v>
      </c>
      <c r="B56" s="122" t="s">
        <v>232</v>
      </c>
      <c r="D56" s="1"/>
      <c r="E56" s="143">
        <f>IF(E57+E59&gt;0,1,0)</f>
        <v>0</v>
      </c>
      <c r="F56" s="123"/>
      <c r="I56" s="123"/>
      <c r="K56" s="119"/>
      <c r="L56"/>
      <c r="P56" s="124">
        <f t="shared" si="0"/>
        <v>0</v>
      </c>
      <c r="Q56" s="125"/>
      <c r="R56" s="125"/>
    </row>
    <row r="57" spans="1:18" s="103" customFormat="1" ht="15" customHeight="1" x14ac:dyDescent="0.45">
      <c r="A57" s="121"/>
      <c r="C57" s="199" t="s">
        <v>195</v>
      </c>
      <c r="D57" s="1" t="s">
        <v>153</v>
      </c>
      <c r="E57" s="334">
        <f>SUMIF(F$7:L$7,"всего",F57:L57)</f>
        <v>0</v>
      </c>
      <c r="F57" s="123">
        <f>SUM(G57:H57)</f>
        <v>0</v>
      </c>
      <c r="G57" s="126">
        <f>IF($B56=_1!E$15,_1!E$16,0)</f>
        <v>0</v>
      </c>
      <c r="H57" s="126">
        <f>IF($B56=_1!F$15,_1!F$16,0)</f>
        <v>0</v>
      </c>
      <c r="I57" s="123">
        <f>SUM(J57:K57)</f>
        <v>0</v>
      </c>
      <c r="J57" s="126">
        <f>IF($B56=_1!H$15,_1!H$16,0)</f>
        <v>0</v>
      </c>
      <c r="K57" s="348">
        <f>IF($B56=_1!I$15,_1!I$16,0)</f>
        <v>0</v>
      </c>
      <c r="L57"/>
      <c r="P57" s="124">
        <f t="shared" si="0"/>
        <v>0</v>
      </c>
      <c r="Q57" s="125"/>
      <c r="R57" s="125"/>
    </row>
    <row r="58" spans="1:18" s="103" customFormat="1" ht="15" customHeight="1" x14ac:dyDescent="0.45">
      <c r="A58" s="121"/>
      <c r="C58" s="199" t="s">
        <v>222</v>
      </c>
      <c r="D58" s="1" t="s">
        <v>120</v>
      </c>
      <c r="E58" s="334">
        <f>SUMIF(F$7:L$7,"всего",F58:L58)</f>
        <v>0</v>
      </c>
      <c r="F58" s="123">
        <f>SUM(G58:H58)</f>
        <v>0</v>
      </c>
      <c r="G58" s="103">
        <f>G57*VLOOKUP($B56,'вес заб'!$A$1:$B$16,2,FALSE)</f>
        <v>0</v>
      </c>
      <c r="H58" s="103">
        <f>H57*VLOOKUP($B56,'вес заб'!$A$1:$B$16,2,FALSE)</f>
        <v>0</v>
      </c>
      <c r="I58" s="123">
        <f>SUM(J58:K58)</f>
        <v>0</v>
      </c>
      <c r="J58" s="103">
        <f>J57*VLOOKUP($B56,'вес заб'!$A$1:$B$16,2,FALSE)</f>
        <v>0</v>
      </c>
      <c r="K58" s="119">
        <f>K57*VLOOKUP($B56,'вес заб'!$A$1:$B$16,2,FALSE)</f>
        <v>0</v>
      </c>
      <c r="L58"/>
      <c r="P58" s="124">
        <f t="shared" si="0"/>
        <v>0</v>
      </c>
      <c r="Q58" s="125"/>
      <c r="R58" s="125"/>
    </row>
    <row r="59" spans="1:18" s="103" customFormat="1" ht="15" customHeight="1" x14ac:dyDescent="0.45">
      <c r="A59" s="123"/>
      <c r="C59" s="199" t="s">
        <v>196</v>
      </c>
      <c r="D59" s="1" t="s">
        <v>153</v>
      </c>
      <c r="E59" s="334">
        <f>SUMIF(F$7:L$7,"всего",F59:L59)</f>
        <v>0</v>
      </c>
      <c r="F59" s="123">
        <f>SUM(G59:H59)</f>
        <v>0</v>
      </c>
      <c r="G59" s="103">
        <f>IF($B56=_1!E$15,_1!E$17,0)</f>
        <v>0</v>
      </c>
      <c r="H59" s="103">
        <f>IF($B56=_1!F$15,_1!F$17,0)</f>
        <v>0</v>
      </c>
      <c r="I59" s="123">
        <f>SUM(J59:K59)</f>
        <v>0</v>
      </c>
      <c r="J59" s="103">
        <f>IF($B56=_1!H$15,_1!H$17,0)</f>
        <v>0</v>
      </c>
      <c r="K59" s="119">
        <f>IF($B56=_1!I$15,_1!I$17,0)</f>
        <v>0</v>
      </c>
      <c r="L59"/>
      <c r="P59" s="124">
        <f t="shared" si="0"/>
        <v>0</v>
      </c>
      <c r="Q59" s="125"/>
      <c r="R59" s="125"/>
    </row>
    <row r="60" spans="1:18" s="103" customFormat="1" ht="15" customHeight="1" x14ac:dyDescent="0.45">
      <c r="A60" s="123"/>
      <c r="C60" s="199" t="s">
        <v>222</v>
      </c>
      <c r="D60" s="1" t="s">
        <v>120</v>
      </c>
      <c r="E60" s="334">
        <f>SUMIF(F$7:L$7,"всего",F60:L60)</f>
        <v>0</v>
      </c>
      <c r="F60" s="123">
        <f>SUM(G60:H60)</f>
        <v>0</v>
      </c>
      <c r="G60" s="103">
        <f>G59*VLOOKUP($B56,'вес заб'!$A$1:$B$16,2,FALSE)</f>
        <v>0</v>
      </c>
      <c r="H60" s="103">
        <f>H59*VLOOKUP($B56,'вес заб'!$A$1:$B$16,2,FALSE)</f>
        <v>0</v>
      </c>
      <c r="I60" s="123">
        <f>SUM(J60:K60)</f>
        <v>0</v>
      </c>
      <c r="J60" s="103">
        <f>J59*VLOOKUP($B56,'вес заб'!$A$1:$B$16,2,FALSE)</f>
        <v>0</v>
      </c>
      <c r="K60" s="119">
        <f>K59*VLOOKUP($B56,'вес заб'!$A$1:$B$16,2,FALSE)</f>
        <v>0</v>
      </c>
      <c r="L60"/>
      <c r="P60" s="124">
        <f t="shared" si="0"/>
        <v>0</v>
      </c>
      <c r="Q60" s="125"/>
      <c r="R60" s="125"/>
    </row>
    <row r="61" spans="1:18" s="103" customFormat="1" ht="15" customHeight="1" x14ac:dyDescent="0.45">
      <c r="A61" s="121" t="s">
        <v>242</v>
      </c>
      <c r="D61" s="199"/>
      <c r="E61" s="141">
        <f>IF((OR(E62&lt;&gt;0,E64&lt;&gt;0,E66&lt;&gt;0,E68&lt;&gt;0,)),1,0)</f>
        <v>0</v>
      </c>
      <c r="F61" s="127"/>
      <c r="G61" s="128"/>
      <c r="H61" s="128"/>
      <c r="I61" s="123"/>
      <c r="J61" s="128"/>
      <c r="K61" s="129"/>
      <c r="L61"/>
      <c r="P61" s="124">
        <f t="shared" si="0"/>
        <v>0</v>
      </c>
      <c r="Q61" s="125"/>
      <c r="R61" s="125"/>
    </row>
    <row r="62" spans="1:18" s="103" customFormat="1" ht="15" customHeight="1" x14ac:dyDescent="0.45">
      <c r="A62" s="409" t="s">
        <v>240</v>
      </c>
      <c r="B62" s="407" t="s">
        <v>195</v>
      </c>
      <c r="C62" s="407"/>
      <c r="D62" s="1" t="s">
        <v>162</v>
      </c>
      <c r="E62" s="334">
        <f>SUMIF(F$7:L$7,"всего",F62:L62)</f>
        <v>0</v>
      </c>
      <c r="F62" s="123">
        <f t="shared" ref="F62:F69" si="10">SUM(G62:H62)</f>
        <v>0</v>
      </c>
      <c r="G62" s="103">
        <f>G57*_1!E$19</f>
        <v>0</v>
      </c>
      <c r="H62" s="103">
        <f>H57*_1!F$19</f>
        <v>0</v>
      </c>
      <c r="I62" s="123">
        <f t="shared" ref="I62:I69" si="11">SUM(J62:K62)</f>
        <v>0</v>
      </c>
      <c r="J62" s="103">
        <f>J57*_1!H$19</f>
        <v>0</v>
      </c>
      <c r="K62" s="119">
        <f>K57*_1!I$19</f>
        <v>0</v>
      </c>
      <c r="L62"/>
      <c r="P62" s="124">
        <f t="shared" si="0"/>
        <v>0</v>
      </c>
      <c r="Q62" s="125"/>
      <c r="R62" s="125"/>
    </row>
    <row r="63" spans="1:18" s="103" customFormat="1" ht="15" customHeight="1" x14ac:dyDescent="0.45">
      <c r="A63" s="410"/>
      <c r="B63" s="407"/>
      <c r="C63" s="407"/>
      <c r="D63" s="1" t="s">
        <v>120</v>
      </c>
      <c r="E63" s="334">
        <f t="shared" ref="E63:E69" si="12">SUMIF(F$7:L$7,"всего",F63:L63)</f>
        <v>0</v>
      </c>
      <c r="F63" s="123">
        <f t="shared" si="10"/>
        <v>0</v>
      </c>
      <c r="G63" s="103">
        <f>ROUND(G62*_1!$E$14*_1!$E$14,1)</f>
        <v>0</v>
      </c>
      <c r="H63" s="103">
        <f>ROUND(H62*_1!$F$14*_1!$F$14,1)</f>
        <v>0</v>
      </c>
      <c r="I63" s="123">
        <f t="shared" si="11"/>
        <v>0</v>
      </c>
      <c r="J63" s="103">
        <f>ROUND(J62*_1!$H$14*_1!$H$14,1)</f>
        <v>0</v>
      </c>
      <c r="K63" s="119">
        <f>ROUND(K62*_1!$I$14*_1!$I$14,1)</f>
        <v>0</v>
      </c>
      <c r="L63"/>
      <c r="P63" s="124">
        <f t="shared" si="0"/>
        <v>0</v>
      </c>
      <c r="Q63" s="125"/>
      <c r="R63" s="125"/>
    </row>
    <row r="64" spans="1:18" s="103" customFormat="1" ht="15" customHeight="1" x14ac:dyDescent="0.45">
      <c r="A64" s="410"/>
      <c r="B64" s="407" t="s">
        <v>196</v>
      </c>
      <c r="C64" s="407"/>
      <c r="D64" s="1" t="s">
        <v>162</v>
      </c>
      <c r="E64" s="334">
        <f t="shared" si="12"/>
        <v>0</v>
      </c>
      <c r="F64" s="123">
        <f t="shared" si="10"/>
        <v>0</v>
      </c>
      <c r="G64" s="103">
        <f>G59*_1!E$19</f>
        <v>0</v>
      </c>
      <c r="H64" s="103">
        <f>H59*_1!F$19</f>
        <v>0</v>
      </c>
      <c r="I64" s="123">
        <f t="shared" si="11"/>
        <v>0</v>
      </c>
      <c r="J64" s="103">
        <f>J59*_1!H$19</f>
        <v>0</v>
      </c>
      <c r="K64" s="119">
        <f>K59*_1!I$19</f>
        <v>0</v>
      </c>
      <c r="L64"/>
      <c r="P64" s="124">
        <f t="shared" si="0"/>
        <v>0</v>
      </c>
      <c r="Q64" s="125"/>
      <c r="R64" s="125"/>
    </row>
    <row r="65" spans="1:18" s="103" customFormat="1" ht="15" customHeight="1" x14ac:dyDescent="0.45">
      <c r="A65" s="410"/>
      <c r="B65" s="407"/>
      <c r="C65" s="407"/>
      <c r="D65" s="1" t="s">
        <v>120</v>
      </c>
      <c r="E65" s="334">
        <f t="shared" si="12"/>
        <v>0</v>
      </c>
      <c r="F65" s="123">
        <f t="shared" si="10"/>
        <v>0</v>
      </c>
      <c r="G65" s="103">
        <f>ROUND(G64*_1!$E$14*_1!$E$14,1)</f>
        <v>0</v>
      </c>
      <c r="H65" s="103">
        <f>ROUND(H64*_1!$F$14*_1!$F$14,1)</f>
        <v>0</v>
      </c>
      <c r="I65" s="123">
        <f t="shared" si="11"/>
        <v>0</v>
      </c>
      <c r="J65" s="103">
        <f>ROUND(J64*_1!$H$14*_1!$H$14,1)</f>
        <v>0</v>
      </c>
      <c r="K65" s="119">
        <f>ROUND(K64*_1!$I$14*_1!$I$14,1)</f>
        <v>0</v>
      </c>
      <c r="L65"/>
      <c r="P65" s="124">
        <f t="shared" si="0"/>
        <v>0</v>
      </c>
      <c r="Q65" s="125"/>
      <c r="R65" s="125"/>
    </row>
    <row r="66" spans="1:18" s="103" customFormat="1" ht="15" customHeight="1" x14ac:dyDescent="0.45">
      <c r="A66" s="409" t="s">
        <v>241</v>
      </c>
      <c r="B66" s="407" t="s">
        <v>195</v>
      </c>
      <c r="C66" s="407"/>
      <c r="D66" s="1" t="s">
        <v>162</v>
      </c>
      <c r="E66" s="334">
        <f t="shared" si="12"/>
        <v>0</v>
      </c>
      <c r="F66" s="123">
        <f t="shared" si="10"/>
        <v>0</v>
      </c>
      <c r="G66" s="103">
        <f>G57*_1!E$20</f>
        <v>0</v>
      </c>
      <c r="H66" s="103">
        <f>H57*_1!F$20</f>
        <v>0</v>
      </c>
      <c r="I66" s="123">
        <f t="shared" si="11"/>
        <v>0</v>
      </c>
      <c r="J66" s="103">
        <f>J57*_1!H$20</f>
        <v>0</v>
      </c>
      <c r="K66" s="119">
        <f>K57*_1!I$20</f>
        <v>0</v>
      </c>
      <c r="L66"/>
      <c r="P66" s="124">
        <f t="shared" si="0"/>
        <v>0</v>
      </c>
      <c r="Q66" s="125"/>
      <c r="R66" s="125"/>
    </row>
    <row r="67" spans="1:18" s="103" customFormat="1" ht="15" customHeight="1" x14ac:dyDescent="0.45">
      <c r="A67" s="410"/>
      <c r="B67" s="407"/>
      <c r="C67" s="407"/>
      <c r="D67" s="1" t="s">
        <v>120</v>
      </c>
      <c r="E67" s="334">
        <f t="shared" si="12"/>
        <v>0</v>
      </c>
      <c r="F67" s="123">
        <f t="shared" si="10"/>
        <v>0</v>
      </c>
      <c r="G67" s="103">
        <f>ROUND(G66*_1!$E$14*_1!$E$14,1)</f>
        <v>0</v>
      </c>
      <c r="H67" s="103">
        <f>ROUND(H66*_1!$F$14*_1!$F$14,1)</f>
        <v>0</v>
      </c>
      <c r="I67" s="123">
        <f t="shared" si="11"/>
        <v>0</v>
      </c>
      <c r="J67" s="103">
        <f>ROUND(J66*_1!$H$14*_1!$H$14,1)</f>
        <v>0</v>
      </c>
      <c r="K67" s="119">
        <f>ROUND(K66*_1!$I$14*_1!$I$14,1)</f>
        <v>0</v>
      </c>
      <c r="L67"/>
      <c r="P67" s="124">
        <f t="shared" si="0"/>
        <v>0</v>
      </c>
      <c r="Q67" s="125"/>
      <c r="R67" s="125"/>
    </row>
    <row r="68" spans="1:18" s="103" customFormat="1" ht="15" customHeight="1" x14ac:dyDescent="0.45">
      <c r="A68" s="410"/>
      <c r="B68" s="407" t="s">
        <v>196</v>
      </c>
      <c r="C68" s="407"/>
      <c r="D68" s="1" t="s">
        <v>162</v>
      </c>
      <c r="E68" s="334">
        <f t="shared" si="12"/>
        <v>0</v>
      </c>
      <c r="F68" s="123">
        <f t="shared" si="10"/>
        <v>0</v>
      </c>
      <c r="G68" s="103">
        <f>G59*_1!E$20</f>
        <v>0</v>
      </c>
      <c r="H68" s="103">
        <f>H59*_1!F$20</f>
        <v>0</v>
      </c>
      <c r="I68" s="123">
        <f t="shared" si="11"/>
        <v>0</v>
      </c>
      <c r="J68" s="103">
        <f>J59*_1!H$20</f>
        <v>0</v>
      </c>
      <c r="K68" s="119">
        <f>K59*_1!I$20</f>
        <v>0</v>
      </c>
      <c r="L68"/>
      <c r="P68" s="124">
        <f t="shared" si="0"/>
        <v>0</v>
      </c>
      <c r="Q68" s="125"/>
      <c r="R68" s="125"/>
    </row>
    <row r="69" spans="1:18" s="103" customFormat="1" ht="15" customHeight="1" x14ac:dyDescent="0.45">
      <c r="A69" s="410"/>
      <c r="B69" s="407"/>
      <c r="C69" s="407"/>
      <c r="D69" s="1" t="s">
        <v>120</v>
      </c>
      <c r="E69" s="334">
        <f t="shared" si="12"/>
        <v>0</v>
      </c>
      <c r="F69" s="123">
        <f t="shared" si="10"/>
        <v>0</v>
      </c>
      <c r="G69" s="103">
        <f>ROUND(G68*_1!$E$14*_1!$E$14,1)</f>
        <v>0</v>
      </c>
      <c r="H69" s="103">
        <f>ROUND(H68*_1!$F$14*_1!$F$14,1)</f>
        <v>0</v>
      </c>
      <c r="I69" s="123">
        <f t="shared" si="11"/>
        <v>0</v>
      </c>
      <c r="J69" s="103">
        <f>ROUND(J68*_1!$H$14*_1!$H$14,1)</f>
        <v>0</v>
      </c>
      <c r="K69" s="119">
        <f>ROUND(K68*_1!$I$14*_1!$I$14,1)</f>
        <v>0</v>
      </c>
      <c r="L69"/>
      <c r="P69" s="124">
        <f t="shared" si="0"/>
        <v>0</v>
      </c>
      <c r="Q69" s="125"/>
      <c r="R69" s="125"/>
    </row>
    <row r="70" spans="1:18" s="103" customFormat="1" ht="15" customHeight="1" x14ac:dyDescent="0.45">
      <c r="A70" s="136"/>
      <c r="B70" s="406" t="s">
        <v>239</v>
      </c>
      <c r="C70" s="407"/>
      <c r="D70" s="1" t="s">
        <v>162</v>
      </c>
      <c r="E70" s="123">
        <f>E62+E64+E66+E68</f>
        <v>0</v>
      </c>
      <c r="F70" s="123"/>
      <c r="I70" s="123"/>
      <c r="K70" s="119"/>
      <c r="L70"/>
      <c r="P70" s="124">
        <f t="shared" si="0"/>
        <v>0</v>
      </c>
      <c r="Q70" s="125"/>
      <c r="R70" s="125"/>
    </row>
    <row r="71" spans="1:18" s="103" customFormat="1" ht="15" customHeight="1" x14ac:dyDescent="0.45">
      <c r="A71" s="145"/>
      <c r="B71" s="408"/>
      <c r="C71" s="408"/>
      <c r="D71" s="313" t="s">
        <v>120</v>
      </c>
      <c r="E71" s="144">
        <f>E63+E65+E67+E69</f>
        <v>0</v>
      </c>
      <c r="F71" s="144"/>
      <c r="G71" s="140"/>
      <c r="H71" s="140"/>
      <c r="I71" s="144"/>
      <c r="J71" s="140"/>
      <c r="K71" s="142"/>
      <c r="L71"/>
      <c r="P71" s="124">
        <f t="shared" si="0"/>
        <v>0</v>
      </c>
      <c r="Q71" s="125"/>
      <c r="R71" s="125"/>
    </row>
    <row r="72" spans="1:18" s="103" customFormat="1" ht="15" customHeight="1" x14ac:dyDescent="0.45">
      <c r="A72" s="121" t="s">
        <v>223</v>
      </c>
      <c r="B72" s="122" t="s">
        <v>229</v>
      </c>
      <c r="D72" s="1"/>
      <c r="E72" s="143">
        <f>IF(E73+E75&gt;0,1,0)</f>
        <v>0</v>
      </c>
      <c r="F72" s="123"/>
      <c r="I72" s="123"/>
      <c r="K72" s="119"/>
      <c r="L72"/>
      <c r="P72" s="124">
        <f t="shared" si="0"/>
        <v>0</v>
      </c>
      <c r="Q72" s="125"/>
      <c r="R72" s="125"/>
    </row>
    <row r="73" spans="1:18" s="103" customFormat="1" ht="15" customHeight="1" x14ac:dyDescent="0.45">
      <c r="A73" s="121"/>
      <c r="C73" s="199" t="s">
        <v>195</v>
      </c>
      <c r="D73" s="1" t="s">
        <v>153</v>
      </c>
      <c r="E73" s="334">
        <f>SUMIF(F$7:L$7,"всего",F73:L73)</f>
        <v>0</v>
      </c>
      <c r="F73" s="123">
        <f>SUM(G73:H73)</f>
        <v>0</v>
      </c>
      <c r="G73" s="126">
        <f>IF($B72=_1!E$15,_1!E$16,0)</f>
        <v>0</v>
      </c>
      <c r="H73" s="126">
        <f>IF($B72=_1!F$15,_1!F$16,0)</f>
        <v>0</v>
      </c>
      <c r="I73" s="123">
        <f>SUM(J73:K73)</f>
        <v>0</v>
      </c>
      <c r="J73" s="126">
        <f>IF($B72=_1!H$15,_1!H$16,0)</f>
        <v>0</v>
      </c>
      <c r="K73" s="348">
        <f>IF($B72=_1!I$15,_1!I$16,0)</f>
        <v>0</v>
      </c>
      <c r="L73"/>
      <c r="P73" s="124">
        <f t="shared" si="0"/>
        <v>0</v>
      </c>
      <c r="Q73" s="125"/>
      <c r="R73" s="125"/>
    </row>
    <row r="74" spans="1:18" s="103" customFormat="1" ht="15" customHeight="1" x14ac:dyDescent="0.45">
      <c r="A74" s="121"/>
      <c r="C74" s="199" t="s">
        <v>222</v>
      </c>
      <c r="D74" s="1" t="s">
        <v>120</v>
      </c>
      <c r="E74" s="334">
        <f>SUMIF(F$7:L$7,"всего",F74:L74)</f>
        <v>0</v>
      </c>
      <c r="F74" s="123">
        <f>SUM(G74:H74)</f>
        <v>0</v>
      </c>
      <c r="G74" s="103">
        <f>G73*VLOOKUP($B72,'вес заб'!$A$1:$B$16,2,FALSE)</f>
        <v>0</v>
      </c>
      <c r="H74" s="103">
        <f>H73*VLOOKUP($B72,'вес заб'!$A$1:$B$16,2,FALSE)</f>
        <v>0</v>
      </c>
      <c r="I74" s="123">
        <f>SUM(J74:K74)</f>
        <v>0</v>
      </c>
      <c r="J74" s="103">
        <f>J73*VLOOKUP($B72,'вес заб'!$A$1:$B$16,2,FALSE)</f>
        <v>0</v>
      </c>
      <c r="K74" s="119">
        <f>K73*VLOOKUP($B72,'вес заб'!$A$1:$B$16,2,FALSE)</f>
        <v>0</v>
      </c>
      <c r="L74"/>
      <c r="P74" s="124">
        <f t="shared" si="0"/>
        <v>0</v>
      </c>
      <c r="Q74" s="125"/>
      <c r="R74" s="125"/>
    </row>
    <row r="75" spans="1:18" s="103" customFormat="1" ht="15" customHeight="1" x14ac:dyDescent="0.45">
      <c r="A75" s="123"/>
      <c r="C75" s="199" t="s">
        <v>196</v>
      </c>
      <c r="D75" s="1" t="s">
        <v>153</v>
      </c>
      <c r="E75" s="334">
        <f>SUMIF(F$7:L$7,"всего",F75:L75)</f>
        <v>0</v>
      </c>
      <c r="F75" s="123">
        <f>SUM(G75:H75)</f>
        <v>0</v>
      </c>
      <c r="G75" s="103">
        <f>IF($B72=_1!E$15,_1!E$17,0)</f>
        <v>0</v>
      </c>
      <c r="H75" s="103">
        <f>IF($B72=_1!F$15,_1!F$17,0)</f>
        <v>0</v>
      </c>
      <c r="I75" s="123">
        <f>SUM(J75:K75)</f>
        <v>0</v>
      </c>
      <c r="J75" s="103">
        <f>IF($B72=_1!H$15,_1!H$17,0)</f>
        <v>0</v>
      </c>
      <c r="K75" s="119">
        <f>IF($B72=_1!I$15,_1!I$17,0)</f>
        <v>0</v>
      </c>
      <c r="L75"/>
      <c r="P75" s="124">
        <f t="shared" si="0"/>
        <v>0</v>
      </c>
      <c r="Q75" s="125"/>
      <c r="R75" s="125"/>
    </row>
    <row r="76" spans="1:18" s="103" customFormat="1" ht="15" customHeight="1" x14ac:dyDescent="0.45">
      <c r="A76" s="123"/>
      <c r="C76" s="199" t="s">
        <v>222</v>
      </c>
      <c r="D76" s="1" t="s">
        <v>120</v>
      </c>
      <c r="E76" s="334">
        <f>SUMIF(F$7:L$7,"всего",F76:L76)</f>
        <v>0</v>
      </c>
      <c r="F76" s="123">
        <f>SUM(G76:H76)</f>
        <v>0</v>
      </c>
      <c r="G76" s="103">
        <f>G75*VLOOKUP($B72,'вес заб'!$A$1:$B$16,2,FALSE)</f>
        <v>0</v>
      </c>
      <c r="H76" s="103">
        <f>H75*VLOOKUP($B72,'вес заб'!$A$1:$B$16,2,FALSE)</f>
        <v>0</v>
      </c>
      <c r="I76" s="123">
        <f>SUM(J76:K76)</f>
        <v>0</v>
      </c>
      <c r="J76" s="103">
        <f>J75*VLOOKUP($B72,'вес заб'!$A$1:$B$16,2,FALSE)</f>
        <v>0</v>
      </c>
      <c r="K76" s="119">
        <f>K75*VLOOKUP($B72,'вес заб'!$A$1:$B$16,2,FALSE)</f>
        <v>0</v>
      </c>
      <c r="L76"/>
      <c r="P76" s="124">
        <f t="shared" si="0"/>
        <v>0</v>
      </c>
      <c r="Q76" s="125"/>
      <c r="R76" s="125"/>
    </row>
    <row r="77" spans="1:18" s="103" customFormat="1" ht="15" customHeight="1" x14ac:dyDescent="0.45">
      <c r="A77" s="121" t="s">
        <v>242</v>
      </c>
      <c r="D77" s="199"/>
      <c r="E77" s="141">
        <f>IF((OR(E78&lt;&gt;0,E80&lt;&gt;0,E82&lt;&gt;0,E84&lt;&gt;0,)),1,0)</f>
        <v>0</v>
      </c>
      <c r="F77" s="127"/>
      <c r="G77" s="128"/>
      <c r="H77" s="128"/>
      <c r="I77" s="123"/>
      <c r="J77" s="128"/>
      <c r="K77" s="129"/>
      <c r="L77"/>
      <c r="P77" s="124">
        <f t="shared" si="0"/>
        <v>0</v>
      </c>
      <c r="Q77" s="125"/>
      <c r="R77" s="125"/>
    </row>
    <row r="78" spans="1:18" s="103" customFormat="1" ht="15" customHeight="1" x14ac:dyDescent="0.45">
      <c r="A78" s="409" t="s">
        <v>240</v>
      </c>
      <c r="B78" s="407" t="s">
        <v>195</v>
      </c>
      <c r="C78" s="407"/>
      <c r="D78" s="1" t="s">
        <v>162</v>
      </c>
      <c r="E78" s="334">
        <f>SUMIF(F$7:L$7,"всего",F78:L78)</f>
        <v>0</v>
      </c>
      <c r="F78" s="123">
        <f t="shared" ref="F78:F85" si="13">SUM(G78:H78)</f>
        <v>0</v>
      </c>
      <c r="G78" s="103">
        <f>G73*_1!E$19</f>
        <v>0</v>
      </c>
      <c r="H78" s="103">
        <f>H73*_1!F$19</f>
        <v>0</v>
      </c>
      <c r="I78" s="123">
        <f t="shared" ref="I78:I85" si="14">SUM(J78:K78)</f>
        <v>0</v>
      </c>
      <c r="J78" s="103">
        <f>J73*_1!H$19</f>
        <v>0</v>
      </c>
      <c r="K78" s="119">
        <f>K73*_1!I$19</f>
        <v>0</v>
      </c>
      <c r="L78"/>
      <c r="P78" s="124">
        <f t="shared" si="0"/>
        <v>0</v>
      </c>
      <c r="Q78" s="125"/>
      <c r="R78" s="125"/>
    </row>
    <row r="79" spans="1:18" s="103" customFormat="1" ht="15" customHeight="1" x14ac:dyDescent="0.45">
      <c r="A79" s="410"/>
      <c r="B79" s="407"/>
      <c r="C79" s="407"/>
      <c r="D79" s="1" t="s">
        <v>120</v>
      </c>
      <c r="E79" s="334">
        <f t="shared" ref="E79:E85" si="15">SUMIF(F$7:L$7,"всего",F79:L79)</f>
        <v>0</v>
      </c>
      <c r="F79" s="123">
        <f t="shared" si="13"/>
        <v>0</v>
      </c>
      <c r="G79" s="103">
        <f>ROUND(G78*_1!$E$14*_1!$E$14,1)</f>
        <v>0</v>
      </c>
      <c r="H79" s="103">
        <f>ROUND(H78*_1!$F$14*_1!$F$14,1)</f>
        <v>0</v>
      </c>
      <c r="I79" s="123">
        <f t="shared" si="14"/>
        <v>0</v>
      </c>
      <c r="J79" s="103">
        <f>ROUND(J78*_1!$H$14*_1!$H$14,1)</f>
        <v>0</v>
      </c>
      <c r="K79" s="119">
        <f>ROUND(K78*_1!$I$14*_1!$I$14,1)</f>
        <v>0</v>
      </c>
      <c r="L79"/>
      <c r="P79" s="124">
        <f t="shared" si="0"/>
        <v>0</v>
      </c>
      <c r="Q79" s="125"/>
      <c r="R79" s="125"/>
    </row>
    <row r="80" spans="1:18" s="103" customFormat="1" ht="15" customHeight="1" x14ac:dyDescent="0.45">
      <c r="A80" s="410"/>
      <c r="B80" s="407" t="s">
        <v>196</v>
      </c>
      <c r="C80" s="407"/>
      <c r="D80" s="1" t="s">
        <v>162</v>
      </c>
      <c r="E80" s="334">
        <f t="shared" si="15"/>
        <v>0</v>
      </c>
      <c r="F80" s="123">
        <f t="shared" si="13"/>
        <v>0</v>
      </c>
      <c r="G80" s="103">
        <f>G75*_1!E$19</f>
        <v>0</v>
      </c>
      <c r="H80" s="103">
        <f>H75*_1!F$19</f>
        <v>0</v>
      </c>
      <c r="I80" s="123">
        <f t="shared" si="14"/>
        <v>0</v>
      </c>
      <c r="J80" s="103">
        <f>J75*_1!H$19</f>
        <v>0</v>
      </c>
      <c r="K80" s="119">
        <f>K75*_1!I$19</f>
        <v>0</v>
      </c>
      <c r="L80"/>
      <c r="P80" s="124">
        <f t="shared" si="0"/>
        <v>0</v>
      </c>
      <c r="Q80" s="125"/>
      <c r="R80" s="125"/>
    </row>
    <row r="81" spans="1:18" s="103" customFormat="1" ht="15" customHeight="1" x14ac:dyDescent="0.45">
      <c r="A81" s="410"/>
      <c r="B81" s="407"/>
      <c r="C81" s="407"/>
      <c r="D81" s="1" t="s">
        <v>120</v>
      </c>
      <c r="E81" s="334">
        <f t="shared" si="15"/>
        <v>0</v>
      </c>
      <c r="F81" s="123">
        <f t="shared" si="13"/>
        <v>0</v>
      </c>
      <c r="G81" s="103">
        <f>ROUND(G80*_1!$E$14*_1!$E$14,1)</f>
        <v>0</v>
      </c>
      <c r="H81" s="103">
        <f>ROUND(H80*_1!$F$14*_1!$F$14,1)</f>
        <v>0</v>
      </c>
      <c r="I81" s="123">
        <f t="shared" si="14"/>
        <v>0</v>
      </c>
      <c r="J81" s="103">
        <f>ROUND(J80*_1!$H$14*_1!$H$14,1)</f>
        <v>0</v>
      </c>
      <c r="K81" s="119">
        <f>ROUND(K80*_1!$I$14*_1!$I$14,1)</f>
        <v>0</v>
      </c>
      <c r="L81"/>
      <c r="P81" s="124">
        <f t="shared" si="0"/>
        <v>0</v>
      </c>
      <c r="Q81" s="125"/>
      <c r="R81" s="125"/>
    </row>
    <row r="82" spans="1:18" s="103" customFormat="1" ht="15" customHeight="1" x14ac:dyDescent="0.45">
      <c r="A82" s="409" t="s">
        <v>241</v>
      </c>
      <c r="B82" s="407" t="s">
        <v>195</v>
      </c>
      <c r="C82" s="407"/>
      <c r="D82" s="1" t="s">
        <v>162</v>
      </c>
      <c r="E82" s="334">
        <f t="shared" si="15"/>
        <v>0</v>
      </c>
      <c r="F82" s="123">
        <f t="shared" si="13"/>
        <v>0</v>
      </c>
      <c r="G82" s="103">
        <f>G73*_1!E$20</f>
        <v>0</v>
      </c>
      <c r="H82" s="103">
        <f>H73*_1!F$20</f>
        <v>0</v>
      </c>
      <c r="I82" s="123">
        <f t="shared" si="14"/>
        <v>0</v>
      </c>
      <c r="J82" s="103">
        <f>J73*_1!H$20</f>
        <v>0</v>
      </c>
      <c r="K82" s="119">
        <f>K73*_1!I$20</f>
        <v>0</v>
      </c>
      <c r="L82"/>
      <c r="P82" s="124">
        <f t="shared" si="0"/>
        <v>0</v>
      </c>
      <c r="Q82" s="125"/>
      <c r="R82" s="125"/>
    </row>
    <row r="83" spans="1:18" s="103" customFormat="1" ht="15" customHeight="1" x14ac:dyDescent="0.45">
      <c r="A83" s="410"/>
      <c r="B83" s="407"/>
      <c r="C83" s="407"/>
      <c r="D83" s="1" t="s">
        <v>120</v>
      </c>
      <c r="E83" s="334">
        <f t="shared" si="15"/>
        <v>0</v>
      </c>
      <c r="F83" s="123">
        <f t="shared" si="13"/>
        <v>0</v>
      </c>
      <c r="G83" s="103">
        <f>ROUND(G82*_1!$E$14*_1!$E$14,1)</f>
        <v>0</v>
      </c>
      <c r="H83" s="103">
        <f>ROUND(H82*_1!$F$14*_1!$F$14,1)</f>
        <v>0</v>
      </c>
      <c r="I83" s="123">
        <f t="shared" si="14"/>
        <v>0</v>
      </c>
      <c r="J83" s="103">
        <f>ROUND(J82*_1!$H$14*_1!$H$14,1)</f>
        <v>0</v>
      </c>
      <c r="K83" s="119">
        <f>ROUND(K82*_1!$I$14*_1!$I$14,1)</f>
        <v>0</v>
      </c>
      <c r="L83"/>
      <c r="P83" s="124">
        <f t="shared" si="0"/>
        <v>0</v>
      </c>
      <c r="Q83" s="125"/>
      <c r="R83" s="125"/>
    </row>
    <row r="84" spans="1:18" s="103" customFormat="1" ht="15" customHeight="1" x14ac:dyDescent="0.45">
      <c r="A84" s="410"/>
      <c r="B84" s="407" t="s">
        <v>196</v>
      </c>
      <c r="C84" s="407"/>
      <c r="D84" s="1" t="s">
        <v>162</v>
      </c>
      <c r="E84" s="334">
        <f t="shared" si="15"/>
        <v>0</v>
      </c>
      <c r="F84" s="123">
        <f t="shared" si="13"/>
        <v>0</v>
      </c>
      <c r="G84" s="103">
        <f>G75*_1!E$20</f>
        <v>0</v>
      </c>
      <c r="H84" s="103">
        <f>H75*_1!F$20</f>
        <v>0</v>
      </c>
      <c r="I84" s="123">
        <f t="shared" si="14"/>
        <v>0</v>
      </c>
      <c r="J84" s="103">
        <f>J75*_1!H$20</f>
        <v>0</v>
      </c>
      <c r="K84" s="119">
        <f>K75*_1!I$20</f>
        <v>0</v>
      </c>
      <c r="L84"/>
      <c r="P84" s="124">
        <f t="shared" si="0"/>
        <v>0</v>
      </c>
      <c r="Q84" s="125"/>
      <c r="R84" s="125"/>
    </row>
    <row r="85" spans="1:18" s="103" customFormat="1" ht="15" customHeight="1" x14ac:dyDescent="0.45">
      <c r="A85" s="410"/>
      <c r="B85" s="407"/>
      <c r="C85" s="407"/>
      <c r="D85" s="1" t="s">
        <v>120</v>
      </c>
      <c r="E85" s="334">
        <f t="shared" si="15"/>
        <v>0</v>
      </c>
      <c r="F85" s="123">
        <f t="shared" si="13"/>
        <v>0</v>
      </c>
      <c r="G85" s="103">
        <f>ROUND(G84*_1!$E$14*_1!$E$14,1)</f>
        <v>0</v>
      </c>
      <c r="H85" s="103">
        <f>ROUND(H84*_1!$F$14*_1!$F$14,1)</f>
        <v>0</v>
      </c>
      <c r="I85" s="123">
        <f t="shared" si="14"/>
        <v>0</v>
      </c>
      <c r="J85" s="103">
        <f>ROUND(J84*_1!$H$14*_1!$H$14,1)</f>
        <v>0</v>
      </c>
      <c r="K85" s="119">
        <f>ROUND(K84*_1!$I$14*_1!$I$14,1)</f>
        <v>0</v>
      </c>
      <c r="L85"/>
      <c r="P85" s="124">
        <f t="shared" si="0"/>
        <v>0</v>
      </c>
      <c r="Q85" s="125"/>
      <c r="R85" s="125"/>
    </row>
    <row r="86" spans="1:18" s="103" customFormat="1" ht="15" customHeight="1" x14ac:dyDescent="0.45">
      <c r="A86" s="136"/>
      <c r="B86" s="406" t="s">
        <v>239</v>
      </c>
      <c r="C86" s="407"/>
      <c r="D86" s="1" t="s">
        <v>162</v>
      </c>
      <c r="E86" s="123">
        <f>E78+E80+E82+E84</f>
        <v>0</v>
      </c>
      <c r="F86" s="123"/>
      <c r="I86" s="123"/>
      <c r="K86" s="119"/>
      <c r="L86"/>
      <c r="P86" s="124">
        <f t="shared" si="0"/>
        <v>0</v>
      </c>
      <c r="Q86" s="125"/>
      <c r="R86" s="125"/>
    </row>
    <row r="87" spans="1:18" s="103" customFormat="1" ht="15" customHeight="1" x14ac:dyDescent="0.45">
      <c r="A87" s="145"/>
      <c r="B87" s="408"/>
      <c r="C87" s="408"/>
      <c r="D87" s="313" t="s">
        <v>120</v>
      </c>
      <c r="E87" s="144">
        <f>E79+E81+E83+E85</f>
        <v>0</v>
      </c>
      <c r="F87" s="144"/>
      <c r="G87" s="140"/>
      <c r="H87" s="140"/>
      <c r="I87" s="144"/>
      <c r="J87" s="140"/>
      <c r="K87" s="142"/>
      <c r="L87"/>
      <c r="P87" s="124">
        <f t="shared" si="0"/>
        <v>0</v>
      </c>
      <c r="Q87" s="125"/>
      <c r="R87" s="125"/>
    </row>
    <row r="88" spans="1:18" s="103" customFormat="1" ht="15" customHeight="1" x14ac:dyDescent="0.45">
      <c r="A88" s="121" t="s">
        <v>202</v>
      </c>
      <c r="B88" s="122" t="s">
        <v>228</v>
      </c>
      <c r="D88" s="1"/>
      <c r="E88" s="143">
        <f>IF(E89+E91&gt;0,1,0)</f>
        <v>0</v>
      </c>
      <c r="F88" s="123"/>
      <c r="I88" s="123"/>
      <c r="K88" s="119"/>
      <c r="L88"/>
      <c r="P88" s="124">
        <f t="shared" si="0"/>
        <v>0</v>
      </c>
      <c r="Q88" s="125"/>
      <c r="R88" s="125"/>
    </row>
    <row r="89" spans="1:18" s="103" customFormat="1" ht="15" customHeight="1" x14ac:dyDescent="0.45">
      <c r="A89" s="121"/>
      <c r="C89" s="199" t="s">
        <v>195</v>
      </c>
      <c r="D89" s="1" t="s">
        <v>153</v>
      </c>
      <c r="E89" s="334">
        <f>SUMIF(F$7:L$7,"всего",F89:L89)</f>
        <v>0</v>
      </c>
      <c r="F89" s="123">
        <f>SUM(G89:H89)</f>
        <v>0</v>
      </c>
      <c r="G89" s="126">
        <f>IF($B88=_1!E$15,_1!E$16,0)</f>
        <v>0</v>
      </c>
      <c r="H89" s="126">
        <f>IF($B88=_1!F$15,_1!F$16,0)</f>
        <v>0</v>
      </c>
      <c r="I89" s="123">
        <f>SUM(J89:K89)</f>
        <v>0</v>
      </c>
      <c r="J89" s="126">
        <f>IF($B88=_1!H$15,_1!H$16,0)</f>
        <v>0</v>
      </c>
      <c r="K89" s="348">
        <f>IF($B88=_1!I$15,_1!I$16,0)</f>
        <v>0</v>
      </c>
      <c r="L89"/>
      <c r="P89" s="124">
        <f t="shared" si="0"/>
        <v>0</v>
      </c>
      <c r="Q89" s="125"/>
      <c r="R89" s="125"/>
    </row>
    <row r="90" spans="1:18" s="103" customFormat="1" ht="15" customHeight="1" x14ac:dyDescent="0.45">
      <c r="A90" s="121"/>
      <c r="C90" s="199" t="s">
        <v>222</v>
      </c>
      <c r="D90" s="1" t="s">
        <v>120</v>
      </c>
      <c r="E90" s="334">
        <f>SUMIF(F$7:L$7,"всего",F90:L90)</f>
        <v>0</v>
      </c>
      <c r="F90" s="123">
        <f>SUM(G90:H90)</f>
        <v>0</v>
      </c>
      <c r="G90" s="103">
        <f>G89*VLOOKUP($B88,'вес заб'!$A$1:$B$16,2,FALSE)</f>
        <v>0</v>
      </c>
      <c r="H90" s="103">
        <f>H89*VLOOKUP($B88,'вес заб'!$A$1:$B$16,2,FALSE)</f>
        <v>0</v>
      </c>
      <c r="I90" s="123">
        <f>SUM(J90:K90)</f>
        <v>0</v>
      </c>
      <c r="J90" s="103">
        <f>J89*VLOOKUP($B88,'вес заб'!$A$1:$B$16,2,FALSE)</f>
        <v>0</v>
      </c>
      <c r="K90" s="119">
        <f>K89*VLOOKUP($B88,'вес заб'!$A$1:$B$16,2,FALSE)</f>
        <v>0</v>
      </c>
      <c r="L90"/>
      <c r="P90" s="124">
        <f t="shared" si="0"/>
        <v>0</v>
      </c>
      <c r="Q90" s="125"/>
      <c r="R90" s="125"/>
    </row>
    <row r="91" spans="1:18" s="103" customFormat="1" ht="15" customHeight="1" x14ac:dyDescent="0.45">
      <c r="A91" s="123"/>
      <c r="C91" s="199" t="s">
        <v>196</v>
      </c>
      <c r="D91" s="1" t="s">
        <v>153</v>
      </c>
      <c r="E91" s="334">
        <f>SUMIF(F$7:L$7,"всего",F91:L91)</f>
        <v>0</v>
      </c>
      <c r="F91" s="123">
        <f>SUM(G91:H91)</f>
        <v>0</v>
      </c>
      <c r="G91" s="103">
        <f>IF($B88=_1!E$15,_1!E$17,0)</f>
        <v>0</v>
      </c>
      <c r="H91" s="103">
        <f>IF($B88=_1!F$15,_1!F$17,0)</f>
        <v>0</v>
      </c>
      <c r="I91" s="123">
        <f>SUM(J91:K91)</f>
        <v>0</v>
      </c>
      <c r="J91" s="103">
        <f>IF($B88=_1!H$15,_1!H$17,0)</f>
        <v>0</v>
      </c>
      <c r="K91" s="119">
        <f>IF($B88=_1!I$15,_1!I$17,0)</f>
        <v>0</v>
      </c>
      <c r="L91"/>
      <c r="P91" s="124">
        <f t="shared" si="0"/>
        <v>0</v>
      </c>
      <c r="Q91" s="125"/>
      <c r="R91" s="125"/>
    </row>
    <row r="92" spans="1:18" s="103" customFormat="1" ht="15" customHeight="1" x14ac:dyDescent="0.45">
      <c r="A92" s="123"/>
      <c r="C92" s="199" t="s">
        <v>222</v>
      </c>
      <c r="D92" s="1" t="s">
        <v>120</v>
      </c>
      <c r="E92" s="334">
        <f>SUMIF(F$7:L$7,"всего",F92:L92)</f>
        <v>0</v>
      </c>
      <c r="F92" s="123">
        <f>SUM(G92:H92)</f>
        <v>0</v>
      </c>
      <c r="G92" s="103">
        <f>G91*VLOOKUP($B88,'вес заб'!$A$1:$B$16,2,FALSE)</f>
        <v>0</v>
      </c>
      <c r="H92" s="103">
        <f>H91*VLOOKUP($B88,'вес заб'!$A$1:$B$16,2,FALSE)</f>
        <v>0</v>
      </c>
      <c r="I92" s="123">
        <f>SUM(J92:K92)</f>
        <v>0</v>
      </c>
      <c r="J92" s="103">
        <f>J91*VLOOKUP($B88,'вес заб'!$A$1:$B$16,2,FALSE)</f>
        <v>0</v>
      </c>
      <c r="K92" s="119">
        <f>K91*VLOOKUP($B88,'вес заб'!$A$1:$B$16,2,FALSE)</f>
        <v>0</v>
      </c>
      <c r="L92"/>
      <c r="P92" s="124">
        <f t="shared" si="0"/>
        <v>0</v>
      </c>
      <c r="Q92" s="125"/>
      <c r="R92" s="125"/>
    </row>
    <row r="93" spans="1:18" s="103" customFormat="1" ht="15" customHeight="1" x14ac:dyDescent="0.45">
      <c r="A93" s="121" t="s">
        <v>242</v>
      </c>
      <c r="D93" s="199"/>
      <c r="E93" s="141">
        <f>IF((OR(E94&lt;&gt;0,E96&lt;&gt;0,E98&lt;&gt;0,E100&lt;&gt;0,)),1,0)</f>
        <v>0</v>
      </c>
      <c r="F93" s="127"/>
      <c r="G93" s="128"/>
      <c r="H93" s="128"/>
      <c r="I93" s="123"/>
      <c r="J93" s="128"/>
      <c r="K93" s="129"/>
      <c r="L93"/>
      <c r="P93" s="124">
        <f t="shared" si="0"/>
        <v>0</v>
      </c>
      <c r="Q93" s="125"/>
      <c r="R93" s="125"/>
    </row>
    <row r="94" spans="1:18" s="103" customFormat="1" ht="15" customHeight="1" x14ac:dyDescent="0.45">
      <c r="A94" s="409" t="s">
        <v>240</v>
      </c>
      <c r="B94" s="407" t="s">
        <v>195</v>
      </c>
      <c r="C94" s="407"/>
      <c r="D94" s="1" t="s">
        <v>162</v>
      </c>
      <c r="E94" s="334">
        <f>SUMIF(F$7:L$7,"всего",F94:L94)</f>
        <v>0</v>
      </c>
      <c r="F94" s="123">
        <f t="shared" ref="F94:F101" si="16">SUM(G94:H94)</f>
        <v>0</v>
      </c>
      <c r="G94" s="103">
        <f>G89*_1!E$19</f>
        <v>0</v>
      </c>
      <c r="H94" s="103">
        <f>H89*_1!F$19</f>
        <v>0</v>
      </c>
      <c r="I94" s="123">
        <f t="shared" ref="I94:I101" si="17">SUM(J94:K94)</f>
        <v>0</v>
      </c>
      <c r="J94" s="103">
        <f>J89*_1!H$19</f>
        <v>0</v>
      </c>
      <c r="K94" s="119">
        <f>K89*_1!I$19</f>
        <v>0</v>
      </c>
      <c r="L94"/>
      <c r="P94" s="124">
        <f t="shared" si="0"/>
        <v>0</v>
      </c>
      <c r="Q94" s="125"/>
      <c r="R94" s="125"/>
    </row>
    <row r="95" spans="1:18" s="103" customFormat="1" ht="15" customHeight="1" x14ac:dyDescent="0.45">
      <c r="A95" s="410"/>
      <c r="B95" s="407"/>
      <c r="C95" s="407"/>
      <c r="D95" s="1" t="s">
        <v>120</v>
      </c>
      <c r="E95" s="334">
        <f t="shared" ref="E95:E101" si="18">SUMIF(F$7:L$7,"всего",F95:L95)</f>
        <v>0</v>
      </c>
      <c r="F95" s="123">
        <f t="shared" si="16"/>
        <v>0</v>
      </c>
      <c r="G95" s="103">
        <f>ROUND(G94*_1!$E$14*_1!$E$14,1)</f>
        <v>0</v>
      </c>
      <c r="H95" s="103">
        <f>ROUND(H94*_1!$F$14*_1!$F$14,1)</f>
        <v>0</v>
      </c>
      <c r="I95" s="123">
        <f t="shared" si="17"/>
        <v>0</v>
      </c>
      <c r="J95" s="103">
        <f>ROUND(J94*_1!$H$14*_1!$H$14,1)</f>
        <v>0</v>
      </c>
      <c r="K95" s="119">
        <f>ROUND(K94*_1!$I$14*_1!$I$14,1)</f>
        <v>0</v>
      </c>
      <c r="L95"/>
      <c r="P95" s="124">
        <f t="shared" si="0"/>
        <v>0</v>
      </c>
      <c r="Q95" s="125"/>
      <c r="R95" s="125"/>
    </row>
    <row r="96" spans="1:18" s="103" customFormat="1" ht="15" customHeight="1" x14ac:dyDescent="0.45">
      <c r="A96" s="410"/>
      <c r="B96" s="407" t="s">
        <v>196</v>
      </c>
      <c r="C96" s="407"/>
      <c r="D96" s="1" t="s">
        <v>162</v>
      </c>
      <c r="E96" s="334">
        <f t="shared" si="18"/>
        <v>0</v>
      </c>
      <c r="F96" s="123">
        <f t="shared" si="16"/>
        <v>0</v>
      </c>
      <c r="G96" s="103">
        <f>G91*_1!E$19</f>
        <v>0</v>
      </c>
      <c r="H96" s="103">
        <f>H91*_1!F$19</f>
        <v>0</v>
      </c>
      <c r="I96" s="123">
        <f t="shared" si="17"/>
        <v>0</v>
      </c>
      <c r="J96" s="103">
        <f>J91*_1!H$19</f>
        <v>0</v>
      </c>
      <c r="K96" s="119">
        <f>K91*_1!I$19</f>
        <v>0</v>
      </c>
      <c r="L96"/>
      <c r="P96" s="124">
        <f t="shared" si="0"/>
        <v>0</v>
      </c>
      <c r="Q96" s="125"/>
      <c r="R96" s="125"/>
    </row>
    <row r="97" spans="1:18" s="103" customFormat="1" ht="15" customHeight="1" x14ac:dyDescent="0.45">
      <c r="A97" s="410"/>
      <c r="B97" s="407"/>
      <c r="C97" s="407"/>
      <c r="D97" s="1" t="s">
        <v>120</v>
      </c>
      <c r="E97" s="334">
        <f t="shared" si="18"/>
        <v>0</v>
      </c>
      <c r="F97" s="123">
        <f t="shared" si="16"/>
        <v>0</v>
      </c>
      <c r="G97" s="103">
        <f>ROUND(G96*_1!$E$14*_1!$E$14,1)</f>
        <v>0</v>
      </c>
      <c r="H97" s="103">
        <f>ROUND(H96*_1!$F$14*_1!$F$14,1)</f>
        <v>0</v>
      </c>
      <c r="I97" s="123">
        <f t="shared" si="17"/>
        <v>0</v>
      </c>
      <c r="J97" s="103">
        <f>ROUND(J96*_1!$H$14*_1!$H$14,1)</f>
        <v>0</v>
      </c>
      <c r="K97" s="119">
        <f>ROUND(K96*_1!$I$14*_1!$I$14,1)</f>
        <v>0</v>
      </c>
      <c r="L97"/>
      <c r="P97" s="124">
        <f t="shared" si="0"/>
        <v>0</v>
      </c>
      <c r="Q97" s="125"/>
      <c r="R97" s="125"/>
    </row>
    <row r="98" spans="1:18" s="103" customFormat="1" ht="15" customHeight="1" x14ac:dyDescent="0.45">
      <c r="A98" s="409" t="s">
        <v>241</v>
      </c>
      <c r="B98" s="407" t="s">
        <v>195</v>
      </c>
      <c r="C98" s="407"/>
      <c r="D98" s="1" t="s">
        <v>162</v>
      </c>
      <c r="E98" s="334">
        <f t="shared" si="18"/>
        <v>0</v>
      </c>
      <c r="F98" s="123">
        <f t="shared" si="16"/>
        <v>0</v>
      </c>
      <c r="G98" s="103">
        <f>G89*_1!E$20</f>
        <v>0</v>
      </c>
      <c r="H98" s="103">
        <f>H89*_1!F$20</f>
        <v>0</v>
      </c>
      <c r="I98" s="123">
        <f t="shared" si="17"/>
        <v>0</v>
      </c>
      <c r="J98" s="103">
        <f>J89*_1!H$20</f>
        <v>0</v>
      </c>
      <c r="K98" s="119">
        <f>K89*_1!I$20</f>
        <v>0</v>
      </c>
      <c r="L98"/>
      <c r="P98" s="124">
        <f t="shared" si="0"/>
        <v>0</v>
      </c>
      <c r="Q98" s="125"/>
      <c r="R98" s="125"/>
    </row>
    <row r="99" spans="1:18" s="103" customFormat="1" ht="15" customHeight="1" x14ac:dyDescent="0.45">
      <c r="A99" s="410"/>
      <c r="B99" s="407"/>
      <c r="C99" s="407"/>
      <c r="D99" s="1" t="s">
        <v>120</v>
      </c>
      <c r="E99" s="334">
        <f t="shared" si="18"/>
        <v>0</v>
      </c>
      <c r="F99" s="123">
        <f t="shared" si="16"/>
        <v>0</v>
      </c>
      <c r="G99" s="103">
        <f>ROUND(G98*_1!$E$14*_1!$E$14,1)</f>
        <v>0</v>
      </c>
      <c r="H99" s="103">
        <f>ROUND(H98*_1!$F$14*_1!$F$14,1)</f>
        <v>0</v>
      </c>
      <c r="I99" s="123">
        <f t="shared" si="17"/>
        <v>0</v>
      </c>
      <c r="J99" s="103">
        <f>ROUND(J98*_1!$H$14*_1!$H$14,1)</f>
        <v>0</v>
      </c>
      <c r="K99" s="119">
        <f>ROUND(K98*_1!$I$14*_1!$I$14,1)</f>
        <v>0</v>
      </c>
      <c r="L99"/>
      <c r="P99" s="124">
        <f t="shared" si="0"/>
        <v>0</v>
      </c>
      <c r="Q99" s="125"/>
      <c r="R99" s="125"/>
    </row>
    <row r="100" spans="1:18" s="103" customFormat="1" ht="15" customHeight="1" x14ac:dyDescent="0.45">
      <c r="A100" s="410"/>
      <c r="B100" s="407" t="s">
        <v>196</v>
      </c>
      <c r="C100" s="407"/>
      <c r="D100" s="1" t="s">
        <v>162</v>
      </c>
      <c r="E100" s="334">
        <f t="shared" si="18"/>
        <v>0</v>
      </c>
      <c r="F100" s="123">
        <f t="shared" si="16"/>
        <v>0</v>
      </c>
      <c r="G100" s="103">
        <f>G91*_1!E$20</f>
        <v>0</v>
      </c>
      <c r="H100" s="103">
        <f>H91*_1!F$20</f>
        <v>0</v>
      </c>
      <c r="I100" s="123">
        <f t="shared" si="17"/>
        <v>0</v>
      </c>
      <c r="J100" s="103">
        <f>J91*_1!H$20</f>
        <v>0</v>
      </c>
      <c r="K100" s="119">
        <f>K91*_1!I$20</f>
        <v>0</v>
      </c>
      <c r="L100"/>
      <c r="P100" s="124">
        <f t="shared" si="0"/>
        <v>0</v>
      </c>
      <c r="Q100" s="125"/>
      <c r="R100" s="125"/>
    </row>
    <row r="101" spans="1:18" s="103" customFormat="1" ht="15" customHeight="1" x14ac:dyDescent="0.45">
      <c r="A101" s="410"/>
      <c r="B101" s="407"/>
      <c r="C101" s="407"/>
      <c r="D101" s="1" t="s">
        <v>120</v>
      </c>
      <c r="E101" s="334">
        <f t="shared" si="18"/>
        <v>0</v>
      </c>
      <c r="F101" s="123">
        <f t="shared" si="16"/>
        <v>0</v>
      </c>
      <c r="G101" s="103">
        <f>ROUND(G100*_1!$E$14*_1!$E$14,1)</f>
        <v>0</v>
      </c>
      <c r="H101" s="103">
        <f>ROUND(H100*_1!$F$14*_1!$F$14,1)</f>
        <v>0</v>
      </c>
      <c r="I101" s="123">
        <f t="shared" si="17"/>
        <v>0</v>
      </c>
      <c r="J101" s="103">
        <f>ROUND(J100*_1!$H$14*_1!$H$14,1)</f>
        <v>0</v>
      </c>
      <c r="K101" s="119">
        <f>ROUND(K100*_1!$I$14*_1!$I$14,1)</f>
        <v>0</v>
      </c>
      <c r="L101"/>
      <c r="P101" s="124">
        <f t="shared" si="0"/>
        <v>0</v>
      </c>
      <c r="Q101" s="125"/>
      <c r="R101" s="125"/>
    </row>
    <row r="102" spans="1:18" s="103" customFormat="1" ht="15" customHeight="1" x14ac:dyDescent="0.45">
      <c r="A102" s="136"/>
      <c r="B102" s="406" t="s">
        <v>239</v>
      </c>
      <c r="C102" s="407"/>
      <c r="D102" s="1" t="s">
        <v>162</v>
      </c>
      <c r="E102" s="123">
        <f>E94+E96+E98+E100</f>
        <v>0</v>
      </c>
      <c r="F102" s="123"/>
      <c r="I102" s="123"/>
      <c r="K102" s="119"/>
      <c r="L102"/>
      <c r="P102" s="124">
        <f t="shared" si="0"/>
        <v>0</v>
      </c>
      <c r="Q102" s="125"/>
      <c r="R102" s="125"/>
    </row>
    <row r="103" spans="1:18" s="103" customFormat="1" ht="15" customHeight="1" x14ac:dyDescent="0.45">
      <c r="A103" s="145"/>
      <c r="B103" s="408"/>
      <c r="C103" s="408"/>
      <c r="D103" s="313" t="s">
        <v>120</v>
      </c>
      <c r="E103" s="144">
        <f>E95+E97+E99+E101</f>
        <v>0</v>
      </c>
      <c r="F103" s="144"/>
      <c r="G103" s="140"/>
      <c r="H103" s="140"/>
      <c r="I103" s="144"/>
      <c r="J103" s="140"/>
      <c r="K103" s="142"/>
      <c r="L103"/>
      <c r="P103" s="124">
        <f t="shared" si="0"/>
        <v>0</v>
      </c>
      <c r="Q103" s="125"/>
      <c r="R103" s="125"/>
    </row>
    <row r="104" spans="1:18" s="103" customFormat="1" ht="15" customHeight="1" x14ac:dyDescent="0.45">
      <c r="A104" s="121" t="s">
        <v>223</v>
      </c>
      <c r="B104" s="122" t="s">
        <v>227</v>
      </c>
      <c r="D104" s="1"/>
      <c r="E104" s="143">
        <f>IF(E105+E107&gt;0,1,0)</f>
        <v>0</v>
      </c>
      <c r="F104" s="123"/>
      <c r="I104" s="123"/>
      <c r="K104" s="119"/>
      <c r="L104"/>
      <c r="P104" s="124">
        <f t="shared" si="0"/>
        <v>0</v>
      </c>
      <c r="Q104" s="125"/>
      <c r="R104" s="125"/>
    </row>
    <row r="105" spans="1:18" s="103" customFormat="1" ht="15" customHeight="1" x14ac:dyDescent="0.45">
      <c r="A105" s="121"/>
      <c r="C105" s="199" t="s">
        <v>195</v>
      </c>
      <c r="D105" s="1" t="s">
        <v>153</v>
      </c>
      <c r="E105" s="334">
        <f>SUMIF(F$7:L$7,"всего",F105:L105)</f>
        <v>0</v>
      </c>
      <c r="F105" s="123">
        <f>SUM(G105:H105)</f>
        <v>0</v>
      </c>
      <c r="G105" s="126">
        <f>IF($B104=_1!E$15,_1!E$16,0)</f>
        <v>0</v>
      </c>
      <c r="H105" s="126">
        <f>IF($B104=_1!F$15,_1!F$16,0)</f>
        <v>0</v>
      </c>
      <c r="I105" s="123">
        <f>SUM(J105:K105)</f>
        <v>0</v>
      </c>
      <c r="J105" s="126">
        <f>IF($B104=_1!H$15,_1!H$16,0)</f>
        <v>0</v>
      </c>
      <c r="K105" s="348">
        <f>IF($B104=_1!I$15,_1!I$16,0)</f>
        <v>0</v>
      </c>
      <c r="L105"/>
      <c r="P105" s="124">
        <f t="shared" si="0"/>
        <v>0</v>
      </c>
      <c r="Q105" s="125"/>
      <c r="R105" s="125"/>
    </row>
    <row r="106" spans="1:18" s="103" customFormat="1" ht="15" customHeight="1" x14ac:dyDescent="0.45">
      <c r="A106" s="121"/>
      <c r="C106" s="199" t="s">
        <v>222</v>
      </c>
      <c r="D106" s="1" t="s">
        <v>120</v>
      </c>
      <c r="E106" s="334">
        <f>SUMIF(F$7:L$7,"всего",F106:L106)</f>
        <v>0</v>
      </c>
      <c r="F106" s="123">
        <f>SUM(G106:H106)</f>
        <v>0</v>
      </c>
      <c r="G106" s="103">
        <f>G105*VLOOKUP($B104,'вес заб'!$A$1:$B$16,2,FALSE)</f>
        <v>0</v>
      </c>
      <c r="H106" s="103">
        <f>H105*VLOOKUP($B104,'вес заб'!$A$1:$B$16,2,FALSE)</f>
        <v>0</v>
      </c>
      <c r="I106" s="123">
        <f>SUM(J106:K106)</f>
        <v>0</v>
      </c>
      <c r="J106" s="103">
        <f>J105*VLOOKUP($B104,'вес заб'!$A$1:$B$16,2,FALSE)</f>
        <v>0</v>
      </c>
      <c r="K106" s="119">
        <f>K105*VLOOKUP($B104,'вес заб'!$A$1:$B$16,2,FALSE)</f>
        <v>0</v>
      </c>
      <c r="L106"/>
      <c r="P106" s="124">
        <f t="shared" si="0"/>
        <v>0</v>
      </c>
      <c r="Q106" s="125"/>
      <c r="R106" s="125"/>
    </row>
    <row r="107" spans="1:18" s="103" customFormat="1" ht="15" customHeight="1" x14ac:dyDescent="0.45">
      <c r="A107" s="123"/>
      <c r="C107" s="199" t="s">
        <v>196</v>
      </c>
      <c r="D107" s="1" t="s">
        <v>153</v>
      </c>
      <c r="E107" s="334">
        <f>SUMIF(F$7:L$7,"всего",F107:L107)</f>
        <v>0</v>
      </c>
      <c r="F107" s="123">
        <f>SUM(G107:H107)</f>
        <v>0</v>
      </c>
      <c r="G107" s="103">
        <f>IF($B104=_1!E$15,_1!E$17,0)</f>
        <v>0</v>
      </c>
      <c r="H107" s="103">
        <f>IF($B104=_1!F$15,_1!F$17,0)</f>
        <v>0</v>
      </c>
      <c r="I107" s="123">
        <f>SUM(J107:K107)</f>
        <v>0</v>
      </c>
      <c r="J107" s="103">
        <f>IF($B104=_1!H$15,_1!H$17,0)</f>
        <v>0</v>
      </c>
      <c r="K107" s="119">
        <f>IF($B104=_1!I$15,_1!I$17,0)</f>
        <v>0</v>
      </c>
      <c r="L107"/>
      <c r="P107" s="124">
        <f t="shared" si="0"/>
        <v>0</v>
      </c>
      <c r="Q107" s="125"/>
      <c r="R107" s="125"/>
    </row>
    <row r="108" spans="1:18" s="103" customFormat="1" ht="15" customHeight="1" x14ac:dyDescent="0.45">
      <c r="A108" s="123"/>
      <c r="C108" s="199" t="s">
        <v>222</v>
      </c>
      <c r="D108" s="1" t="s">
        <v>120</v>
      </c>
      <c r="E108" s="334">
        <f>SUMIF(F$7:L$7,"всего",F108:L108)</f>
        <v>0</v>
      </c>
      <c r="F108" s="123">
        <f>SUM(G108:H108)</f>
        <v>0</v>
      </c>
      <c r="G108" s="103">
        <f>G107*VLOOKUP($B104,'вес заб'!$A$1:$B$16,2,FALSE)</f>
        <v>0</v>
      </c>
      <c r="H108" s="103">
        <f>H107*VLOOKUP($B104,'вес заб'!$A$1:$B$16,2,FALSE)</f>
        <v>0</v>
      </c>
      <c r="I108" s="123">
        <f>SUM(J108:K108)</f>
        <v>0</v>
      </c>
      <c r="J108" s="103">
        <f>J107*VLOOKUP($B104,'вес заб'!$A$1:$B$16,2,FALSE)</f>
        <v>0</v>
      </c>
      <c r="K108" s="119">
        <f>K107*VLOOKUP($B104,'вес заб'!$A$1:$B$16,2,FALSE)</f>
        <v>0</v>
      </c>
      <c r="L108"/>
      <c r="P108" s="124">
        <f t="shared" si="0"/>
        <v>0</v>
      </c>
      <c r="Q108" s="125"/>
      <c r="R108" s="125"/>
    </row>
    <row r="109" spans="1:18" s="103" customFormat="1" ht="15" customHeight="1" x14ac:dyDescent="0.45">
      <c r="A109" s="121" t="s">
        <v>242</v>
      </c>
      <c r="D109" s="199"/>
      <c r="E109" s="141">
        <f>IF((OR(E110&lt;&gt;0,E112&lt;&gt;0,E114&lt;&gt;0,E116&lt;&gt;0,)),1,0)</f>
        <v>0</v>
      </c>
      <c r="F109" s="127"/>
      <c r="G109" s="128"/>
      <c r="H109" s="128"/>
      <c r="I109" s="123"/>
      <c r="J109" s="128"/>
      <c r="K109" s="129"/>
      <c r="L109"/>
      <c r="P109" s="124">
        <f t="shared" si="0"/>
        <v>0</v>
      </c>
      <c r="Q109" s="125"/>
      <c r="R109" s="125"/>
    </row>
    <row r="110" spans="1:18" s="103" customFormat="1" ht="15" customHeight="1" x14ac:dyDescent="0.45">
      <c r="A110" s="409" t="s">
        <v>240</v>
      </c>
      <c r="B110" s="407" t="s">
        <v>195</v>
      </c>
      <c r="C110" s="407"/>
      <c r="D110" s="1" t="s">
        <v>162</v>
      </c>
      <c r="E110" s="334">
        <f>SUMIF(F$7:L$7,"всего",F110:L110)</f>
        <v>0</v>
      </c>
      <c r="F110" s="123">
        <f t="shared" ref="F110:F117" si="19">SUM(G110:H110)</f>
        <v>0</v>
      </c>
      <c r="G110" s="103">
        <f>G105*_1!E$19</f>
        <v>0</v>
      </c>
      <c r="H110" s="103">
        <f>H105*_1!F$19</f>
        <v>0</v>
      </c>
      <c r="I110" s="123">
        <f t="shared" ref="I110:I117" si="20">SUM(J110:K110)</f>
        <v>0</v>
      </c>
      <c r="J110" s="103">
        <f>J105*_1!H$19</f>
        <v>0</v>
      </c>
      <c r="K110" s="119">
        <f>K105*_1!I$19</f>
        <v>0</v>
      </c>
      <c r="L110"/>
      <c r="P110" s="124">
        <f t="shared" si="0"/>
        <v>0</v>
      </c>
      <c r="Q110" s="125"/>
      <c r="R110" s="125"/>
    </row>
    <row r="111" spans="1:18" s="103" customFormat="1" ht="15" customHeight="1" x14ac:dyDescent="0.45">
      <c r="A111" s="410"/>
      <c r="B111" s="407"/>
      <c r="C111" s="407"/>
      <c r="D111" s="1" t="s">
        <v>120</v>
      </c>
      <c r="E111" s="334">
        <f t="shared" ref="E111:E117" si="21">SUMIF(F$7:L$7,"всего",F111:L111)</f>
        <v>0</v>
      </c>
      <c r="F111" s="123">
        <f t="shared" si="19"/>
        <v>0</v>
      </c>
      <c r="G111" s="103">
        <f>ROUND(G110*_1!$E$14*_1!$E$14,1)</f>
        <v>0</v>
      </c>
      <c r="H111" s="103">
        <f>ROUND(H110*_1!$F$14*_1!$F$14,1)</f>
        <v>0</v>
      </c>
      <c r="I111" s="123">
        <f t="shared" si="20"/>
        <v>0</v>
      </c>
      <c r="J111" s="103">
        <f>ROUND(J110*_1!$H$14*_1!$H$14,1)</f>
        <v>0</v>
      </c>
      <c r="K111" s="119">
        <f>ROUND(K110*_1!$I$14*_1!$I$14,1)</f>
        <v>0</v>
      </c>
      <c r="L111"/>
      <c r="P111" s="124">
        <f t="shared" si="0"/>
        <v>0</v>
      </c>
      <c r="Q111" s="125"/>
      <c r="R111" s="125"/>
    </row>
    <row r="112" spans="1:18" s="103" customFormat="1" ht="15" customHeight="1" x14ac:dyDescent="0.45">
      <c r="A112" s="410"/>
      <c r="B112" s="407" t="s">
        <v>196</v>
      </c>
      <c r="C112" s="407"/>
      <c r="D112" s="1" t="s">
        <v>162</v>
      </c>
      <c r="E112" s="334">
        <f t="shared" si="21"/>
        <v>0</v>
      </c>
      <c r="F112" s="123">
        <f t="shared" si="19"/>
        <v>0</v>
      </c>
      <c r="G112" s="103">
        <f>G107*_1!E$19</f>
        <v>0</v>
      </c>
      <c r="H112" s="103">
        <f>H107*_1!F$19</f>
        <v>0</v>
      </c>
      <c r="I112" s="123">
        <f t="shared" si="20"/>
        <v>0</v>
      </c>
      <c r="J112" s="103">
        <f>J107*_1!H$19</f>
        <v>0</v>
      </c>
      <c r="K112" s="119">
        <f>K107*_1!I$19</f>
        <v>0</v>
      </c>
      <c r="L112"/>
      <c r="P112" s="124">
        <f t="shared" si="0"/>
        <v>0</v>
      </c>
      <c r="Q112" s="125"/>
      <c r="R112" s="125"/>
    </row>
    <row r="113" spans="1:18" s="103" customFormat="1" ht="15" customHeight="1" x14ac:dyDescent="0.45">
      <c r="A113" s="410"/>
      <c r="B113" s="407"/>
      <c r="C113" s="407"/>
      <c r="D113" s="1" t="s">
        <v>120</v>
      </c>
      <c r="E113" s="334">
        <f t="shared" si="21"/>
        <v>0</v>
      </c>
      <c r="F113" s="123">
        <f t="shared" si="19"/>
        <v>0</v>
      </c>
      <c r="G113" s="103">
        <f>ROUND(G112*_1!$E$14*_1!$E$14,1)</f>
        <v>0</v>
      </c>
      <c r="H113" s="103">
        <f>ROUND(H112*_1!$F$14*_1!$F$14,1)</f>
        <v>0</v>
      </c>
      <c r="I113" s="123">
        <f t="shared" si="20"/>
        <v>0</v>
      </c>
      <c r="J113" s="103">
        <f>ROUND(J112*_1!$H$14*_1!$H$14,1)</f>
        <v>0</v>
      </c>
      <c r="K113" s="119">
        <f>ROUND(K112*_1!$I$14*_1!$I$14,1)</f>
        <v>0</v>
      </c>
      <c r="L113"/>
      <c r="P113" s="124">
        <f t="shared" si="0"/>
        <v>0</v>
      </c>
      <c r="Q113" s="125"/>
      <c r="R113" s="125"/>
    </row>
    <row r="114" spans="1:18" s="103" customFormat="1" ht="15" customHeight="1" x14ac:dyDescent="0.45">
      <c r="A114" s="409" t="s">
        <v>241</v>
      </c>
      <c r="B114" s="407" t="s">
        <v>195</v>
      </c>
      <c r="C114" s="407"/>
      <c r="D114" s="1" t="s">
        <v>162</v>
      </c>
      <c r="E114" s="334">
        <f t="shared" si="21"/>
        <v>0</v>
      </c>
      <c r="F114" s="123">
        <f t="shared" si="19"/>
        <v>0</v>
      </c>
      <c r="G114" s="103">
        <f>G105*_1!E$20</f>
        <v>0</v>
      </c>
      <c r="H114" s="103">
        <f>H105*_1!F$20</f>
        <v>0</v>
      </c>
      <c r="I114" s="123">
        <f t="shared" si="20"/>
        <v>0</v>
      </c>
      <c r="J114" s="103">
        <f>J105*_1!H$20</f>
        <v>0</v>
      </c>
      <c r="K114" s="119">
        <f>K105*_1!I$20</f>
        <v>0</v>
      </c>
      <c r="L114"/>
      <c r="P114" s="124">
        <f t="shared" si="0"/>
        <v>0</v>
      </c>
      <c r="Q114" s="125"/>
      <c r="R114" s="125"/>
    </row>
    <row r="115" spans="1:18" s="103" customFormat="1" ht="15" customHeight="1" x14ac:dyDescent="0.45">
      <c r="A115" s="410"/>
      <c r="B115" s="407"/>
      <c r="C115" s="407"/>
      <c r="D115" s="1" t="s">
        <v>120</v>
      </c>
      <c r="E115" s="334">
        <f t="shared" si="21"/>
        <v>0</v>
      </c>
      <c r="F115" s="123">
        <f t="shared" si="19"/>
        <v>0</v>
      </c>
      <c r="G115" s="103">
        <f>ROUND(G114*_1!$E$14*_1!$E$14,1)</f>
        <v>0</v>
      </c>
      <c r="H115" s="103">
        <f>ROUND(H114*_1!$F$14*_1!$F$14,1)</f>
        <v>0</v>
      </c>
      <c r="I115" s="123">
        <f t="shared" si="20"/>
        <v>0</v>
      </c>
      <c r="J115" s="103">
        <f>ROUND(J114*_1!$H$14*_1!$H$14,1)</f>
        <v>0</v>
      </c>
      <c r="K115" s="119">
        <f>ROUND(K114*_1!$I$14*_1!$I$14,1)</f>
        <v>0</v>
      </c>
      <c r="L115"/>
      <c r="P115" s="124">
        <f t="shared" si="0"/>
        <v>0</v>
      </c>
      <c r="Q115" s="125"/>
      <c r="R115" s="125"/>
    </row>
    <row r="116" spans="1:18" s="103" customFormat="1" ht="15" customHeight="1" x14ac:dyDescent="0.45">
      <c r="A116" s="410"/>
      <c r="B116" s="407" t="s">
        <v>196</v>
      </c>
      <c r="C116" s="407"/>
      <c r="D116" s="1" t="s">
        <v>162</v>
      </c>
      <c r="E116" s="334">
        <f t="shared" si="21"/>
        <v>0</v>
      </c>
      <c r="F116" s="123">
        <f t="shared" si="19"/>
        <v>0</v>
      </c>
      <c r="G116" s="103">
        <f>G107*_1!E$20</f>
        <v>0</v>
      </c>
      <c r="H116" s="103">
        <f>H107*_1!F$20</f>
        <v>0</v>
      </c>
      <c r="I116" s="123">
        <f t="shared" si="20"/>
        <v>0</v>
      </c>
      <c r="J116" s="103">
        <f>J107*_1!H$20</f>
        <v>0</v>
      </c>
      <c r="K116" s="119">
        <f>K107*_1!I$20</f>
        <v>0</v>
      </c>
      <c r="L116"/>
      <c r="P116" s="124">
        <f t="shared" si="0"/>
        <v>0</v>
      </c>
      <c r="Q116" s="125"/>
      <c r="R116" s="125"/>
    </row>
    <row r="117" spans="1:18" s="103" customFormat="1" ht="15" customHeight="1" x14ac:dyDescent="0.45">
      <c r="A117" s="410"/>
      <c r="B117" s="407"/>
      <c r="C117" s="407"/>
      <c r="D117" s="1" t="s">
        <v>120</v>
      </c>
      <c r="E117" s="334">
        <f t="shared" si="21"/>
        <v>0</v>
      </c>
      <c r="F117" s="123">
        <f t="shared" si="19"/>
        <v>0</v>
      </c>
      <c r="G117" s="103">
        <f>ROUND(G116*_1!$E$14*_1!$E$14,1)</f>
        <v>0</v>
      </c>
      <c r="H117" s="103">
        <f>ROUND(H116*_1!$F$14*_1!$F$14,1)</f>
        <v>0</v>
      </c>
      <c r="I117" s="123">
        <f t="shared" si="20"/>
        <v>0</v>
      </c>
      <c r="J117" s="103">
        <f>ROUND(J116*_1!$H$14*_1!$H$14,1)</f>
        <v>0</v>
      </c>
      <c r="K117" s="119">
        <f>ROUND(K116*_1!$I$14*_1!$I$14,1)</f>
        <v>0</v>
      </c>
      <c r="L117"/>
      <c r="P117" s="124">
        <f t="shared" si="0"/>
        <v>0</v>
      </c>
      <c r="Q117" s="125"/>
      <c r="R117" s="125"/>
    </row>
    <row r="118" spans="1:18" s="103" customFormat="1" ht="15" customHeight="1" x14ac:dyDescent="0.45">
      <c r="A118" s="136"/>
      <c r="B118" s="406" t="s">
        <v>239</v>
      </c>
      <c r="C118" s="407"/>
      <c r="D118" s="1" t="s">
        <v>162</v>
      </c>
      <c r="E118" s="123">
        <f>E110+E112+E114+E116</f>
        <v>0</v>
      </c>
      <c r="F118" s="123"/>
      <c r="I118" s="123"/>
      <c r="K118" s="119"/>
      <c r="L118"/>
      <c r="P118" s="124">
        <f t="shared" si="0"/>
        <v>0</v>
      </c>
      <c r="Q118" s="125"/>
      <c r="R118" s="125"/>
    </row>
    <row r="119" spans="1:18" s="103" customFormat="1" ht="15" customHeight="1" x14ac:dyDescent="0.45">
      <c r="A119" s="145"/>
      <c r="B119" s="408"/>
      <c r="C119" s="408"/>
      <c r="D119" s="313" t="s">
        <v>120</v>
      </c>
      <c r="E119" s="144">
        <f>E111+E113+E115+E117</f>
        <v>0</v>
      </c>
      <c r="F119" s="144"/>
      <c r="G119" s="140"/>
      <c r="H119" s="140"/>
      <c r="I119" s="144"/>
      <c r="J119" s="140"/>
      <c r="K119" s="142"/>
      <c r="L119"/>
      <c r="P119" s="124">
        <f t="shared" si="0"/>
        <v>0</v>
      </c>
      <c r="Q119" s="125"/>
      <c r="R119" s="125"/>
    </row>
    <row r="120" spans="1:18" s="103" customFormat="1" ht="15" customHeight="1" x14ac:dyDescent="0.45">
      <c r="A120" s="121" t="s">
        <v>202</v>
      </c>
      <c r="B120" s="122" t="s">
        <v>226</v>
      </c>
      <c r="D120" s="1"/>
      <c r="E120" s="143">
        <f>IF(E121+E123&gt;0,1,0)</f>
        <v>0</v>
      </c>
      <c r="F120" s="123"/>
      <c r="I120" s="123"/>
      <c r="K120" s="119"/>
      <c r="L120"/>
      <c r="P120" s="124">
        <f t="shared" si="0"/>
        <v>0</v>
      </c>
      <c r="Q120" s="125"/>
      <c r="R120" s="125"/>
    </row>
    <row r="121" spans="1:18" s="103" customFormat="1" ht="15" customHeight="1" x14ac:dyDescent="0.45">
      <c r="A121" s="121"/>
      <c r="C121" s="199" t="s">
        <v>195</v>
      </c>
      <c r="D121" s="1" t="s">
        <v>153</v>
      </c>
      <c r="E121" s="334">
        <f>SUMIF(F$7:L$7,"всего",F121:L121)</f>
        <v>0</v>
      </c>
      <c r="F121" s="123">
        <f>SUM(G121:H121)</f>
        <v>0</v>
      </c>
      <c r="G121" s="126">
        <f>IF($B120=_1!E$15,_1!E$16,0)</f>
        <v>0</v>
      </c>
      <c r="H121" s="126">
        <f>IF($B120=_1!F$15,_1!F$16,0)</f>
        <v>0</v>
      </c>
      <c r="I121" s="123">
        <f>SUM(J121:K121)</f>
        <v>0</v>
      </c>
      <c r="J121" s="126">
        <f>IF($B120=_1!H$15,_1!H$16,0)</f>
        <v>0</v>
      </c>
      <c r="K121" s="348">
        <f>IF($B120=_1!I$15,_1!I$16,0)</f>
        <v>0</v>
      </c>
      <c r="L121"/>
      <c r="P121" s="124">
        <f t="shared" si="0"/>
        <v>0</v>
      </c>
      <c r="Q121" s="125"/>
      <c r="R121" s="125"/>
    </row>
    <row r="122" spans="1:18" s="103" customFormat="1" ht="15" customHeight="1" x14ac:dyDescent="0.45">
      <c r="A122" s="121"/>
      <c r="C122" s="199" t="s">
        <v>222</v>
      </c>
      <c r="D122" s="1" t="s">
        <v>120</v>
      </c>
      <c r="E122" s="334">
        <f>SUMIF(F$7:L$7,"всего",F122:L122)</f>
        <v>0</v>
      </c>
      <c r="F122" s="123">
        <f>SUM(G122:H122)</f>
        <v>0</v>
      </c>
      <c r="G122" s="103">
        <f>G121*VLOOKUP($B120,'вес заб'!$A$1:$B$16,2,FALSE)</f>
        <v>0</v>
      </c>
      <c r="H122" s="103">
        <f>H121*VLOOKUP($B120,'вес заб'!$A$1:$B$16,2,FALSE)</f>
        <v>0</v>
      </c>
      <c r="I122" s="123">
        <f>SUM(J122:K122)</f>
        <v>0</v>
      </c>
      <c r="J122" s="103">
        <f>J121*VLOOKUP($B120,'вес заб'!$A$1:$B$16,2,FALSE)</f>
        <v>0</v>
      </c>
      <c r="K122" s="119">
        <f>K121*VLOOKUP($B120,'вес заб'!$A$1:$B$16,2,FALSE)</f>
        <v>0</v>
      </c>
      <c r="L122"/>
      <c r="P122" s="124">
        <f t="shared" si="0"/>
        <v>0</v>
      </c>
      <c r="Q122" s="125"/>
      <c r="R122" s="125"/>
    </row>
    <row r="123" spans="1:18" s="103" customFormat="1" ht="15" customHeight="1" x14ac:dyDescent="0.45">
      <c r="A123" s="123"/>
      <c r="C123" s="199" t="s">
        <v>196</v>
      </c>
      <c r="D123" s="1" t="s">
        <v>153</v>
      </c>
      <c r="E123" s="334">
        <f>SUMIF(F$7:L$7,"всего",F123:L123)</f>
        <v>0</v>
      </c>
      <c r="F123" s="123">
        <f>SUM(G123:H123)</f>
        <v>0</v>
      </c>
      <c r="G123" s="103">
        <f>IF($B120=_1!E$15,_1!E$17,0)</f>
        <v>0</v>
      </c>
      <c r="H123" s="103">
        <f>IF($B120=_1!F$15,_1!F$17,0)</f>
        <v>0</v>
      </c>
      <c r="I123" s="123">
        <f>SUM(J123:K123)</f>
        <v>0</v>
      </c>
      <c r="J123" s="103">
        <f>IF($B120=_1!H$15,_1!H$17,0)</f>
        <v>0</v>
      </c>
      <c r="K123" s="119">
        <f>IF($B120=_1!I$15,_1!I$17,0)</f>
        <v>0</v>
      </c>
      <c r="L123"/>
      <c r="P123" s="124">
        <f t="shared" si="0"/>
        <v>0</v>
      </c>
      <c r="Q123" s="125"/>
      <c r="R123" s="125"/>
    </row>
    <row r="124" spans="1:18" s="103" customFormat="1" ht="15" customHeight="1" x14ac:dyDescent="0.45">
      <c r="A124" s="123"/>
      <c r="C124" s="199" t="s">
        <v>222</v>
      </c>
      <c r="D124" s="1" t="s">
        <v>120</v>
      </c>
      <c r="E124" s="334">
        <f>SUMIF(F$7:L$7,"всего",F124:L124)</f>
        <v>0</v>
      </c>
      <c r="F124" s="123">
        <f>SUM(G124:H124)</f>
        <v>0</v>
      </c>
      <c r="G124" s="103">
        <f>G123*VLOOKUP($B120,'вес заб'!$A$1:$B$16,2,FALSE)</f>
        <v>0</v>
      </c>
      <c r="H124" s="103">
        <f>H123*VLOOKUP($B120,'вес заб'!$A$1:$B$16,2,FALSE)</f>
        <v>0</v>
      </c>
      <c r="I124" s="123">
        <f>SUM(J124:K124)</f>
        <v>0</v>
      </c>
      <c r="J124" s="103">
        <f>J123*VLOOKUP($B120,'вес заб'!$A$1:$B$16,2,FALSE)</f>
        <v>0</v>
      </c>
      <c r="K124" s="119">
        <f>K123*VLOOKUP($B120,'вес заб'!$A$1:$B$16,2,FALSE)</f>
        <v>0</v>
      </c>
      <c r="L124"/>
      <c r="P124" s="124">
        <f t="shared" si="0"/>
        <v>0</v>
      </c>
      <c r="Q124" s="125"/>
      <c r="R124" s="125"/>
    </row>
    <row r="125" spans="1:18" s="103" customFormat="1" ht="15" customHeight="1" x14ac:dyDescent="0.45">
      <c r="A125" s="121" t="s">
        <v>242</v>
      </c>
      <c r="D125" s="199"/>
      <c r="E125" s="141">
        <f>IF((OR(E126&lt;&gt;0,E128&lt;&gt;0,E130&lt;&gt;0,E132&lt;&gt;0,)),1,0)</f>
        <v>0</v>
      </c>
      <c r="F125" s="127"/>
      <c r="G125" s="128"/>
      <c r="H125" s="128"/>
      <c r="I125" s="123"/>
      <c r="J125" s="128"/>
      <c r="K125" s="129"/>
      <c r="L125"/>
      <c r="P125" s="124">
        <f t="shared" si="0"/>
        <v>0</v>
      </c>
      <c r="Q125" s="125"/>
      <c r="R125" s="125"/>
    </row>
    <row r="126" spans="1:18" s="103" customFormat="1" ht="15" customHeight="1" x14ac:dyDescent="0.45">
      <c r="A126" s="409" t="s">
        <v>240</v>
      </c>
      <c r="B126" s="407" t="s">
        <v>195</v>
      </c>
      <c r="C126" s="407"/>
      <c r="D126" s="1" t="s">
        <v>162</v>
      </c>
      <c r="E126" s="334">
        <f>SUMIF(F$7:L$7,"всего",F126:L126)</f>
        <v>0</v>
      </c>
      <c r="F126" s="123">
        <f t="shared" ref="F126:F133" si="22">SUM(G126:H126)</f>
        <v>0</v>
      </c>
      <c r="G126" s="103">
        <f>G121*_1!E$19</f>
        <v>0</v>
      </c>
      <c r="H126" s="103">
        <f>H121*_1!F$19</f>
        <v>0</v>
      </c>
      <c r="I126" s="123">
        <f t="shared" ref="I126:I133" si="23">SUM(J126:K126)</f>
        <v>0</v>
      </c>
      <c r="J126" s="103">
        <f>J121*_1!H$19</f>
        <v>0</v>
      </c>
      <c r="K126" s="119">
        <f>K121*_1!I$19</f>
        <v>0</v>
      </c>
      <c r="L126"/>
      <c r="P126" s="124">
        <f t="shared" si="0"/>
        <v>0</v>
      </c>
      <c r="Q126" s="125"/>
      <c r="R126" s="125"/>
    </row>
    <row r="127" spans="1:18" s="103" customFormat="1" ht="15" customHeight="1" x14ac:dyDescent="0.45">
      <c r="A127" s="410"/>
      <c r="B127" s="407"/>
      <c r="C127" s="407"/>
      <c r="D127" s="1" t="s">
        <v>120</v>
      </c>
      <c r="E127" s="334">
        <f t="shared" ref="E127:E133" si="24">SUMIF(F$7:L$7,"всего",F127:L127)</f>
        <v>0</v>
      </c>
      <c r="F127" s="123">
        <f t="shared" si="22"/>
        <v>0</v>
      </c>
      <c r="G127" s="103">
        <f>ROUND(G126*_1!$E$14*_1!$E$14,1)</f>
        <v>0</v>
      </c>
      <c r="H127" s="103">
        <f>ROUND(H126*_1!$F$14*_1!$F$14,1)</f>
        <v>0</v>
      </c>
      <c r="I127" s="123">
        <f t="shared" si="23"/>
        <v>0</v>
      </c>
      <c r="J127" s="103">
        <f>ROUND(J126*_1!$H$14*_1!$H$14,1)</f>
        <v>0</v>
      </c>
      <c r="K127" s="119">
        <f>ROUND(K126*_1!$I$14*_1!$I$14,1)</f>
        <v>0</v>
      </c>
      <c r="L127"/>
      <c r="P127" s="124">
        <f t="shared" si="0"/>
        <v>0</v>
      </c>
      <c r="Q127" s="125"/>
      <c r="R127" s="125"/>
    </row>
    <row r="128" spans="1:18" s="103" customFormat="1" ht="15" customHeight="1" x14ac:dyDescent="0.45">
      <c r="A128" s="410"/>
      <c r="B128" s="407" t="s">
        <v>196</v>
      </c>
      <c r="C128" s="407"/>
      <c r="D128" s="1" t="s">
        <v>162</v>
      </c>
      <c r="E128" s="334">
        <f t="shared" si="24"/>
        <v>0</v>
      </c>
      <c r="F128" s="123">
        <f t="shared" si="22"/>
        <v>0</v>
      </c>
      <c r="G128" s="103">
        <f>G123*_1!E$19</f>
        <v>0</v>
      </c>
      <c r="H128" s="103">
        <f>H123*_1!F$19</f>
        <v>0</v>
      </c>
      <c r="I128" s="123">
        <f t="shared" si="23"/>
        <v>0</v>
      </c>
      <c r="J128" s="103">
        <f>J123*_1!H$19</f>
        <v>0</v>
      </c>
      <c r="K128" s="119">
        <f>K123*_1!I$19</f>
        <v>0</v>
      </c>
      <c r="L128"/>
      <c r="P128" s="124">
        <f t="shared" si="0"/>
        <v>0</v>
      </c>
      <c r="Q128" s="125"/>
      <c r="R128" s="125"/>
    </row>
    <row r="129" spans="1:18" s="103" customFormat="1" ht="15" customHeight="1" x14ac:dyDescent="0.45">
      <c r="A129" s="410"/>
      <c r="B129" s="407"/>
      <c r="C129" s="407"/>
      <c r="D129" s="1" t="s">
        <v>120</v>
      </c>
      <c r="E129" s="334">
        <f t="shared" si="24"/>
        <v>0</v>
      </c>
      <c r="F129" s="123">
        <f t="shared" si="22"/>
        <v>0</v>
      </c>
      <c r="G129" s="103">
        <f>ROUND(G128*_1!$E$14*_1!$E$14,1)</f>
        <v>0</v>
      </c>
      <c r="H129" s="103">
        <f>ROUND(H128*_1!$F$14*_1!$F$14,1)</f>
        <v>0</v>
      </c>
      <c r="I129" s="123">
        <f t="shared" si="23"/>
        <v>0</v>
      </c>
      <c r="J129" s="103">
        <f>ROUND(J128*_1!$H$14*_1!$H$14,1)</f>
        <v>0</v>
      </c>
      <c r="K129" s="119">
        <f>ROUND(K128*_1!$I$14*_1!$I$14,1)</f>
        <v>0</v>
      </c>
      <c r="L129"/>
      <c r="P129" s="124">
        <f t="shared" si="0"/>
        <v>0</v>
      </c>
      <c r="Q129" s="125"/>
      <c r="R129" s="125"/>
    </row>
    <row r="130" spans="1:18" s="103" customFormat="1" ht="15" customHeight="1" x14ac:dyDescent="0.45">
      <c r="A130" s="409" t="s">
        <v>241</v>
      </c>
      <c r="B130" s="407" t="s">
        <v>195</v>
      </c>
      <c r="C130" s="407"/>
      <c r="D130" s="1" t="s">
        <v>162</v>
      </c>
      <c r="E130" s="334">
        <f t="shared" si="24"/>
        <v>0</v>
      </c>
      <c r="F130" s="123">
        <f t="shared" si="22"/>
        <v>0</v>
      </c>
      <c r="G130" s="103">
        <f>G121*_1!E$20</f>
        <v>0</v>
      </c>
      <c r="H130" s="103">
        <f>H121*_1!F$20</f>
        <v>0</v>
      </c>
      <c r="I130" s="123">
        <f t="shared" si="23"/>
        <v>0</v>
      </c>
      <c r="J130" s="103">
        <f>J121*_1!H$20</f>
        <v>0</v>
      </c>
      <c r="K130" s="119">
        <f>K121*_1!I$20</f>
        <v>0</v>
      </c>
      <c r="L130"/>
      <c r="P130" s="124">
        <f t="shared" si="0"/>
        <v>0</v>
      </c>
      <c r="Q130" s="125"/>
      <c r="R130" s="125"/>
    </row>
    <row r="131" spans="1:18" s="103" customFormat="1" ht="15" customHeight="1" x14ac:dyDescent="0.45">
      <c r="A131" s="410"/>
      <c r="B131" s="407"/>
      <c r="C131" s="407"/>
      <c r="D131" s="1" t="s">
        <v>120</v>
      </c>
      <c r="E131" s="334">
        <f t="shared" si="24"/>
        <v>0</v>
      </c>
      <c r="F131" s="123">
        <f t="shared" si="22"/>
        <v>0</v>
      </c>
      <c r="G131" s="103">
        <f>ROUND(G130*_1!$E$14*_1!$E$14,1)</f>
        <v>0</v>
      </c>
      <c r="H131" s="103">
        <f>ROUND(H130*_1!$F$14*_1!$F$14,1)</f>
        <v>0</v>
      </c>
      <c r="I131" s="123">
        <f t="shared" si="23"/>
        <v>0</v>
      </c>
      <c r="J131" s="103">
        <f>ROUND(J130*_1!$H$14*_1!$H$14,1)</f>
        <v>0</v>
      </c>
      <c r="K131" s="119">
        <f>ROUND(K130*_1!$I$14*_1!$I$14,1)</f>
        <v>0</v>
      </c>
      <c r="L131"/>
      <c r="P131" s="124">
        <f t="shared" si="0"/>
        <v>0</v>
      </c>
      <c r="Q131" s="125"/>
      <c r="R131" s="125"/>
    </row>
    <row r="132" spans="1:18" s="103" customFormat="1" ht="15" customHeight="1" x14ac:dyDescent="0.45">
      <c r="A132" s="410"/>
      <c r="B132" s="407" t="s">
        <v>196</v>
      </c>
      <c r="C132" s="407"/>
      <c r="D132" s="1" t="s">
        <v>162</v>
      </c>
      <c r="E132" s="334">
        <f t="shared" si="24"/>
        <v>0</v>
      </c>
      <c r="F132" s="123">
        <f t="shared" si="22"/>
        <v>0</v>
      </c>
      <c r="G132" s="103">
        <f>G123*_1!E$20</f>
        <v>0</v>
      </c>
      <c r="H132" s="103">
        <f>H123*_1!F$20</f>
        <v>0</v>
      </c>
      <c r="I132" s="123">
        <f t="shared" si="23"/>
        <v>0</v>
      </c>
      <c r="J132" s="103">
        <f>J123*_1!H$20</f>
        <v>0</v>
      </c>
      <c r="K132" s="119">
        <f>K123*_1!I$20</f>
        <v>0</v>
      </c>
      <c r="L132"/>
      <c r="P132" s="124">
        <f t="shared" si="0"/>
        <v>0</v>
      </c>
      <c r="Q132" s="125"/>
      <c r="R132" s="125"/>
    </row>
    <row r="133" spans="1:18" s="103" customFormat="1" ht="15" customHeight="1" x14ac:dyDescent="0.45">
      <c r="A133" s="410"/>
      <c r="B133" s="407"/>
      <c r="C133" s="407"/>
      <c r="D133" s="1" t="s">
        <v>120</v>
      </c>
      <c r="E133" s="334">
        <f t="shared" si="24"/>
        <v>0</v>
      </c>
      <c r="F133" s="123">
        <f t="shared" si="22"/>
        <v>0</v>
      </c>
      <c r="G133" s="103">
        <f>ROUND(G132*_1!$E$14*_1!$E$14,1)</f>
        <v>0</v>
      </c>
      <c r="H133" s="103">
        <f>ROUND(H132*_1!$F$14*_1!$F$14,1)</f>
        <v>0</v>
      </c>
      <c r="I133" s="123">
        <f t="shared" si="23"/>
        <v>0</v>
      </c>
      <c r="J133" s="103">
        <f>ROUND(J132*_1!$H$14*_1!$H$14,1)</f>
        <v>0</v>
      </c>
      <c r="K133" s="119">
        <f>ROUND(K132*_1!$I$14*_1!$I$14,1)</f>
        <v>0</v>
      </c>
      <c r="L133"/>
      <c r="P133" s="124">
        <f t="shared" si="0"/>
        <v>0</v>
      </c>
      <c r="Q133" s="125"/>
      <c r="R133" s="125"/>
    </row>
    <row r="134" spans="1:18" s="103" customFormat="1" ht="15" customHeight="1" x14ac:dyDescent="0.45">
      <c r="A134" s="136"/>
      <c r="B134" s="406" t="s">
        <v>239</v>
      </c>
      <c r="C134" s="407"/>
      <c r="D134" s="1" t="s">
        <v>162</v>
      </c>
      <c r="E134" s="123">
        <f>E126+E128+E130+E132</f>
        <v>0</v>
      </c>
      <c r="F134" s="123"/>
      <c r="I134" s="123"/>
      <c r="K134" s="119"/>
      <c r="L134"/>
      <c r="P134" s="124">
        <f t="shared" si="0"/>
        <v>0</v>
      </c>
      <c r="Q134" s="125"/>
      <c r="R134" s="125"/>
    </row>
    <row r="135" spans="1:18" s="103" customFormat="1" ht="15" customHeight="1" x14ac:dyDescent="0.45">
      <c r="A135" s="145"/>
      <c r="B135" s="408"/>
      <c r="C135" s="408"/>
      <c r="D135" s="313" t="s">
        <v>120</v>
      </c>
      <c r="E135" s="144">
        <f>E127+E129+E131+E133</f>
        <v>0</v>
      </c>
      <c r="F135" s="144"/>
      <c r="G135" s="140"/>
      <c r="H135" s="140"/>
      <c r="I135" s="144"/>
      <c r="J135" s="140"/>
      <c r="K135" s="142"/>
      <c r="L135"/>
      <c r="P135" s="124">
        <f t="shared" si="0"/>
        <v>0</v>
      </c>
      <c r="Q135" s="125"/>
      <c r="R135" s="125"/>
    </row>
    <row r="136" spans="1:18" s="103" customFormat="1" ht="15" customHeight="1" x14ac:dyDescent="0.45">
      <c r="A136" s="195" t="s">
        <v>202</v>
      </c>
      <c r="B136" s="196" t="s">
        <v>225</v>
      </c>
      <c r="C136" s="197"/>
      <c r="D136" s="279"/>
      <c r="E136" s="143">
        <f>IF(E137+E139&gt;0,1,0)</f>
        <v>1</v>
      </c>
      <c r="F136" s="123"/>
      <c r="I136" s="123"/>
      <c r="K136" s="119"/>
      <c r="L136"/>
      <c r="P136" s="124">
        <f t="shared" si="0"/>
        <v>1</v>
      </c>
      <c r="Q136" s="125"/>
      <c r="R136" s="125"/>
    </row>
    <row r="137" spans="1:18" s="103" customFormat="1" ht="15" customHeight="1" x14ac:dyDescent="0.45">
      <c r="A137" s="121"/>
      <c r="C137" s="199" t="s">
        <v>195</v>
      </c>
      <c r="D137" s="1" t="s">
        <v>153</v>
      </c>
      <c r="E137" s="334">
        <f>SUMIF(F$7:L$7,"всего",F137:L137)</f>
        <v>48</v>
      </c>
      <c r="F137" s="123">
        <f>SUM(G137:H137)</f>
        <v>24</v>
      </c>
      <c r="G137" s="126">
        <f>IF($B136=_1!E$15,_1!E$16,0)</f>
        <v>12</v>
      </c>
      <c r="H137" s="126">
        <f>IF($B136=_1!F$15,_1!F$16,0)</f>
        <v>12</v>
      </c>
      <c r="I137" s="123">
        <f>SUM(J137:K137)</f>
        <v>24</v>
      </c>
      <c r="J137" s="126">
        <f>IF($B136=_1!H$15,_1!H$16,0)</f>
        <v>12</v>
      </c>
      <c r="K137" s="348">
        <f>IF($B136=_1!I$15,_1!I$16,0)</f>
        <v>12</v>
      </c>
      <c r="L137"/>
      <c r="P137" s="124">
        <f t="shared" si="0"/>
        <v>1</v>
      </c>
      <c r="Q137" s="125"/>
      <c r="R137" s="125"/>
    </row>
    <row r="138" spans="1:18" s="103" customFormat="1" ht="15" customHeight="1" x14ac:dyDescent="0.45">
      <c r="A138" s="121"/>
      <c r="C138" s="199" t="s">
        <v>222</v>
      </c>
      <c r="D138" s="1" t="s">
        <v>120</v>
      </c>
      <c r="E138" s="334">
        <f>SUMIF(F$7:L$7,"всего",F138:L138)</f>
        <v>95.039999999999992</v>
      </c>
      <c r="F138" s="123">
        <f>SUM(G138:H138)</f>
        <v>47.519999999999996</v>
      </c>
      <c r="G138" s="103">
        <f>G137*VLOOKUP($B136,'вес заб'!$A$1:$B$16,2,FALSE)</f>
        <v>23.759999999999998</v>
      </c>
      <c r="H138" s="103">
        <f>H137*VLOOKUP($B136,'вес заб'!$A$1:$B$16,2,FALSE)</f>
        <v>23.759999999999998</v>
      </c>
      <c r="I138" s="123">
        <f>SUM(J138:K138)</f>
        <v>47.519999999999996</v>
      </c>
      <c r="J138" s="103">
        <f>J137*VLOOKUP($B136,'вес заб'!$A$1:$B$16,2,FALSE)</f>
        <v>23.759999999999998</v>
      </c>
      <c r="K138" s="119">
        <f>K137*VLOOKUP($B136,'вес заб'!$A$1:$B$16,2,FALSE)</f>
        <v>23.759999999999998</v>
      </c>
      <c r="L138"/>
      <c r="P138" s="124">
        <f t="shared" si="0"/>
        <v>1</v>
      </c>
      <c r="Q138" s="125"/>
      <c r="R138" s="125"/>
    </row>
    <row r="139" spans="1:18" s="103" customFormat="1" ht="15" customHeight="1" x14ac:dyDescent="0.45">
      <c r="A139" s="123"/>
      <c r="C139" s="199" t="s">
        <v>196</v>
      </c>
      <c r="D139" s="1" t="s">
        <v>153</v>
      </c>
      <c r="E139" s="334">
        <f>SUMIF(F$7:L$7,"всего",F139:L139)</f>
        <v>24</v>
      </c>
      <c r="F139" s="123">
        <f>SUM(G139:H139)</f>
        <v>12</v>
      </c>
      <c r="G139" s="103">
        <f>IF($B136=_1!E$15,_1!E$17,0)</f>
        <v>6</v>
      </c>
      <c r="H139" s="103">
        <f>IF($B136=_1!F$15,_1!F$17,0)</f>
        <v>6</v>
      </c>
      <c r="I139" s="123">
        <f>SUM(J139:K139)</f>
        <v>12</v>
      </c>
      <c r="J139" s="103">
        <f>IF($B136=_1!H$15,_1!H$17,0)</f>
        <v>6</v>
      </c>
      <c r="K139" s="119">
        <f>IF($B136=_1!I$15,_1!I$17,0)</f>
        <v>6</v>
      </c>
      <c r="L139"/>
      <c r="P139" s="124">
        <f t="shared" si="0"/>
        <v>1</v>
      </c>
      <c r="Q139" s="125"/>
      <c r="R139" s="125"/>
    </row>
    <row r="140" spans="1:18" s="103" customFormat="1" ht="15" customHeight="1" x14ac:dyDescent="0.45">
      <c r="A140" s="123"/>
      <c r="C140" s="199" t="s">
        <v>222</v>
      </c>
      <c r="D140" s="1" t="s">
        <v>120</v>
      </c>
      <c r="E140" s="334">
        <f>SUMIF(F$7:L$7,"всего",F140:L140)</f>
        <v>47.519999999999996</v>
      </c>
      <c r="F140" s="123">
        <f>SUM(G140:H140)</f>
        <v>23.759999999999998</v>
      </c>
      <c r="G140" s="103">
        <f>G139*VLOOKUP($B136,'вес заб'!$A$1:$B$16,2,FALSE)</f>
        <v>11.879999999999999</v>
      </c>
      <c r="H140" s="103">
        <f>H139*VLOOKUP($B136,'вес заб'!$A$1:$B$16,2,FALSE)</f>
        <v>11.879999999999999</v>
      </c>
      <c r="I140" s="123">
        <f>SUM(J140:K140)</f>
        <v>23.759999999999998</v>
      </c>
      <c r="J140" s="103">
        <f>J139*VLOOKUP($B136,'вес заб'!$A$1:$B$16,2,FALSE)</f>
        <v>11.879999999999999</v>
      </c>
      <c r="K140" s="119">
        <f>K139*VLOOKUP($B136,'вес заб'!$A$1:$B$16,2,FALSE)</f>
        <v>11.879999999999999</v>
      </c>
      <c r="L140"/>
      <c r="P140" s="124">
        <f t="shared" si="0"/>
        <v>1</v>
      </c>
      <c r="Q140" s="125"/>
      <c r="R140" s="125"/>
    </row>
    <row r="141" spans="1:18" s="103" customFormat="1" ht="15" customHeight="1" x14ac:dyDescent="0.45">
      <c r="A141" s="121" t="s">
        <v>242</v>
      </c>
      <c r="D141" s="199"/>
      <c r="E141" s="141">
        <f>IF((OR(E142&lt;&gt;0,E144&lt;&gt;0,E146&lt;&gt;0,E148&lt;&gt;0,)),1,0)</f>
        <v>1</v>
      </c>
      <c r="F141" s="127"/>
      <c r="G141" s="128"/>
      <c r="H141" s="128"/>
      <c r="I141" s="123"/>
      <c r="J141" s="128"/>
      <c r="K141" s="129"/>
      <c r="L141"/>
      <c r="P141" s="124">
        <f t="shared" si="0"/>
        <v>1</v>
      </c>
      <c r="Q141" s="125"/>
      <c r="R141" s="125"/>
    </row>
    <row r="142" spans="1:18" s="103" customFormat="1" ht="15" customHeight="1" x14ac:dyDescent="0.45">
      <c r="A142" s="409" t="s">
        <v>240</v>
      </c>
      <c r="B142" s="407" t="s">
        <v>195</v>
      </c>
      <c r="C142" s="407"/>
      <c r="D142" s="1" t="s">
        <v>162</v>
      </c>
      <c r="E142" s="334">
        <f>SUMIF(F$7:L$7,"всего",F142:L142)</f>
        <v>382.92000000000013</v>
      </c>
      <c r="F142" s="123">
        <f t="shared" ref="F142:F149" si="25">SUM(G142:H142)</f>
        <v>173.04000000000002</v>
      </c>
      <c r="G142" s="103">
        <f>G137*_1!E$19</f>
        <v>76.919999999999959</v>
      </c>
      <c r="H142" s="103">
        <f>H137*_1!F$19</f>
        <v>96.120000000000061</v>
      </c>
      <c r="I142" s="123">
        <f t="shared" ref="I142:I149" si="26">SUM(J142:K142)</f>
        <v>209.88000000000011</v>
      </c>
      <c r="J142" s="103">
        <f>J137*_1!H$19</f>
        <v>79.139999999999816</v>
      </c>
      <c r="K142" s="119">
        <f>K137*_1!I$19</f>
        <v>130.74000000000029</v>
      </c>
      <c r="L142"/>
      <c r="P142" s="124">
        <f t="shared" si="0"/>
        <v>1</v>
      </c>
      <c r="Q142" s="125"/>
      <c r="R142" s="125"/>
    </row>
    <row r="143" spans="1:18" s="103" customFormat="1" ht="15" customHeight="1" x14ac:dyDescent="0.45">
      <c r="A143" s="410"/>
      <c r="B143" s="407"/>
      <c r="C143" s="407"/>
      <c r="D143" s="1" t="s">
        <v>120</v>
      </c>
      <c r="E143" s="334">
        <f t="shared" ref="E143:E149" si="27">SUMIF(F$7:L$7,"всего",F143:L143)</f>
        <v>46.900000000000006</v>
      </c>
      <c r="F143" s="123">
        <f t="shared" si="25"/>
        <v>21.200000000000003</v>
      </c>
      <c r="G143" s="103">
        <f>ROUND(G142*_1!$E$14*_1!$E$14,1)</f>
        <v>9.4</v>
      </c>
      <c r="H143" s="103">
        <f>ROUND(H142*_1!$F$14*_1!$F$14,1)</f>
        <v>11.8</v>
      </c>
      <c r="I143" s="123">
        <f t="shared" si="26"/>
        <v>25.7</v>
      </c>
      <c r="J143" s="103">
        <f>ROUND(J142*_1!$H$14*_1!$H$14,1)</f>
        <v>9.6999999999999993</v>
      </c>
      <c r="K143" s="119">
        <f>ROUND(K142*_1!$I$14*_1!$I$14,1)</f>
        <v>16</v>
      </c>
      <c r="L143"/>
      <c r="P143" s="124">
        <f t="shared" si="0"/>
        <v>1</v>
      </c>
      <c r="Q143" s="125"/>
      <c r="R143" s="125"/>
    </row>
    <row r="144" spans="1:18" s="103" customFormat="1" ht="15" customHeight="1" x14ac:dyDescent="0.45">
      <c r="A144" s="410"/>
      <c r="B144" s="407" t="s">
        <v>196</v>
      </c>
      <c r="C144" s="407"/>
      <c r="D144" s="1" t="s">
        <v>162</v>
      </c>
      <c r="E144" s="334">
        <f t="shared" si="27"/>
        <v>191.46000000000006</v>
      </c>
      <c r="F144" s="123">
        <f t="shared" si="25"/>
        <v>86.52000000000001</v>
      </c>
      <c r="G144" s="103">
        <f>G139*_1!E$19</f>
        <v>38.45999999999998</v>
      </c>
      <c r="H144" s="103">
        <f>H139*_1!F$19</f>
        <v>48.060000000000031</v>
      </c>
      <c r="I144" s="123">
        <f t="shared" si="26"/>
        <v>104.94000000000005</v>
      </c>
      <c r="J144" s="103">
        <f>J139*_1!H$19</f>
        <v>39.569999999999908</v>
      </c>
      <c r="K144" s="119">
        <f>K139*_1!I$19</f>
        <v>65.370000000000147</v>
      </c>
      <c r="L144"/>
      <c r="P144" s="124">
        <f t="shared" si="0"/>
        <v>1</v>
      </c>
      <c r="Q144" s="125"/>
      <c r="R144" s="125"/>
    </row>
    <row r="145" spans="1:18" s="103" customFormat="1" ht="15" customHeight="1" x14ac:dyDescent="0.45">
      <c r="A145" s="410"/>
      <c r="B145" s="407"/>
      <c r="C145" s="407"/>
      <c r="D145" s="1" t="s">
        <v>120</v>
      </c>
      <c r="E145" s="334">
        <f t="shared" si="27"/>
        <v>23.400000000000002</v>
      </c>
      <c r="F145" s="123">
        <f t="shared" si="25"/>
        <v>10.600000000000001</v>
      </c>
      <c r="G145" s="103">
        <f>ROUND(G144*_1!$E$14*_1!$E$14,1)</f>
        <v>4.7</v>
      </c>
      <c r="H145" s="103">
        <f>ROUND(H144*_1!$F$14*_1!$F$14,1)</f>
        <v>5.9</v>
      </c>
      <c r="I145" s="123">
        <f t="shared" si="26"/>
        <v>12.8</v>
      </c>
      <c r="J145" s="103">
        <f>ROUND(J144*_1!$H$14*_1!$H$14,1)</f>
        <v>4.8</v>
      </c>
      <c r="K145" s="119">
        <f>ROUND(K144*_1!$I$14*_1!$I$14,1)</f>
        <v>8</v>
      </c>
      <c r="L145"/>
      <c r="P145" s="124">
        <f t="shared" si="0"/>
        <v>1</v>
      </c>
      <c r="Q145" s="125"/>
      <c r="R145" s="125"/>
    </row>
    <row r="146" spans="1:18" s="103" customFormat="1" ht="15" customHeight="1" x14ac:dyDescent="0.45">
      <c r="A146" s="409" t="s">
        <v>241</v>
      </c>
      <c r="B146" s="407" t="s">
        <v>195</v>
      </c>
      <c r="C146" s="407"/>
      <c r="D146" s="1" t="s">
        <v>162</v>
      </c>
      <c r="E146" s="334">
        <f t="shared" si="27"/>
        <v>418.80000000000024</v>
      </c>
      <c r="F146" s="123">
        <f t="shared" si="25"/>
        <v>225.60000000000031</v>
      </c>
      <c r="G146" s="103">
        <f>G137*_1!E$20</f>
        <v>122.4000000000002</v>
      </c>
      <c r="H146" s="103">
        <f>H137*_1!F$20</f>
        <v>103.2000000000001</v>
      </c>
      <c r="I146" s="123">
        <f t="shared" si="26"/>
        <v>193.19999999999993</v>
      </c>
      <c r="J146" s="103">
        <f>J137*_1!H$20</f>
        <v>121.2000000000001</v>
      </c>
      <c r="K146" s="119">
        <f>K137*_1!I$20</f>
        <v>71.999999999999829</v>
      </c>
      <c r="L146"/>
      <c r="P146" s="124">
        <f t="shared" si="0"/>
        <v>1</v>
      </c>
      <c r="Q146" s="125"/>
      <c r="R146" s="125"/>
    </row>
    <row r="147" spans="1:18" s="103" customFormat="1" ht="15" customHeight="1" x14ac:dyDescent="0.45">
      <c r="A147" s="410"/>
      <c r="B147" s="407"/>
      <c r="C147" s="407"/>
      <c r="D147" s="1" t="s">
        <v>120</v>
      </c>
      <c r="E147" s="334">
        <f t="shared" si="27"/>
        <v>51.2</v>
      </c>
      <c r="F147" s="123">
        <f t="shared" si="25"/>
        <v>27.6</v>
      </c>
      <c r="G147" s="103">
        <f>ROUND(G146*_1!$E$14*_1!$E$14,1)</f>
        <v>15</v>
      </c>
      <c r="H147" s="103">
        <f>ROUND(H146*_1!$F$14*_1!$F$14,1)</f>
        <v>12.6</v>
      </c>
      <c r="I147" s="123">
        <f t="shared" si="26"/>
        <v>23.6</v>
      </c>
      <c r="J147" s="103">
        <f>ROUND(J146*_1!$H$14*_1!$H$14,1)</f>
        <v>14.8</v>
      </c>
      <c r="K147" s="119">
        <f>ROUND(K146*_1!$I$14*_1!$I$14,1)</f>
        <v>8.8000000000000007</v>
      </c>
      <c r="L147"/>
      <c r="P147" s="124">
        <f t="shared" si="0"/>
        <v>1</v>
      </c>
      <c r="Q147" s="125"/>
      <c r="R147" s="125"/>
    </row>
    <row r="148" spans="1:18" s="103" customFormat="1" ht="15" customHeight="1" x14ac:dyDescent="0.45">
      <c r="A148" s="410"/>
      <c r="B148" s="407" t="s">
        <v>196</v>
      </c>
      <c r="C148" s="407"/>
      <c r="D148" s="1" t="s">
        <v>162</v>
      </c>
      <c r="E148" s="334">
        <f t="shared" si="27"/>
        <v>209.40000000000012</v>
      </c>
      <c r="F148" s="123">
        <f t="shared" si="25"/>
        <v>112.80000000000015</v>
      </c>
      <c r="G148" s="103">
        <f>G139*_1!E$20</f>
        <v>61.200000000000102</v>
      </c>
      <c r="H148" s="103">
        <f>H139*_1!F$20</f>
        <v>51.600000000000051</v>
      </c>
      <c r="I148" s="123">
        <f t="shared" si="26"/>
        <v>96.599999999999966</v>
      </c>
      <c r="J148" s="103">
        <f>J139*_1!H$20</f>
        <v>60.600000000000051</v>
      </c>
      <c r="K148" s="119">
        <f>K139*_1!I$20</f>
        <v>35.999999999999915</v>
      </c>
      <c r="L148"/>
      <c r="P148" s="124">
        <f t="shared" si="0"/>
        <v>1</v>
      </c>
      <c r="Q148" s="125"/>
      <c r="R148" s="125"/>
    </row>
    <row r="149" spans="1:18" s="103" customFormat="1" ht="15" customHeight="1" x14ac:dyDescent="0.45">
      <c r="A149" s="410"/>
      <c r="B149" s="407"/>
      <c r="C149" s="407"/>
      <c r="D149" s="1" t="s">
        <v>120</v>
      </c>
      <c r="E149" s="334">
        <f t="shared" si="27"/>
        <v>25.6</v>
      </c>
      <c r="F149" s="123">
        <f t="shared" si="25"/>
        <v>13.8</v>
      </c>
      <c r="G149" s="103">
        <f>ROUND(G148*_1!$E$14*_1!$E$14,1)</f>
        <v>7.5</v>
      </c>
      <c r="H149" s="103">
        <f>ROUND(H148*_1!$F$14*_1!$F$14,1)</f>
        <v>6.3</v>
      </c>
      <c r="I149" s="123">
        <f t="shared" si="26"/>
        <v>11.8</v>
      </c>
      <c r="J149" s="103">
        <f>ROUND(J148*_1!$H$14*_1!$H$14,1)</f>
        <v>7.4</v>
      </c>
      <c r="K149" s="119">
        <f>ROUND(K148*_1!$I$14*_1!$I$14,1)</f>
        <v>4.4000000000000004</v>
      </c>
      <c r="L149"/>
      <c r="P149" s="124">
        <f t="shared" si="0"/>
        <v>1</v>
      </c>
      <c r="Q149" s="125"/>
      <c r="R149" s="125"/>
    </row>
    <row r="150" spans="1:18" s="103" customFormat="1" ht="15" customHeight="1" x14ac:dyDescent="0.45">
      <c r="A150" s="136"/>
      <c r="B150" s="406" t="s">
        <v>239</v>
      </c>
      <c r="C150" s="407"/>
      <c r="D150" s="1" t="s">
        <v>162</v>
      </c>
      <c r="E150" s="123">
        <f>E142+E144+E146+E148</f>
        <v>1202.5800000000006</v>
      </c>
      <c r="F150" s="123"/>
      <c r="I150" s="123"/>
      <c r="K150" s="119"/>
      <c r="L150"/>
      <c r="P150" s="124">
        <f t="shared" si="0"/>
        <v>1</v>
      </c>
      <c r="Q150" s="125"/>
      <c r="R150" s="125"/>
    </row>
    <row r="151" spans="1:18" s="103" customFormat="1" ht="15" customHeight="1" x14ac:dyDescent="0.45">
      <c r="A151" s="145"/>
      <c r="B151" s="408"/>
      <c r="C151" s="408"/>
      <c r="D151" s="313" t="s">
        <v>120</v>
      </c>
      <c r="E151" s="144">
        <f>E143+E145+E147+E149</f>
        <v>147.10000000000002</v>
      </c>
      <c r="F151" s="144"/>
      <c r="G151" s="140"/>
      <c r="H151" s="140"/>
      <c r="I151" s="144"/>
      <c r="J151" s="140"/>
      <c r="K151" s="142"/>
      <c r="L151"/>
      <c r="P151" s="124">
        <f t="shared" si="0"/>
        <v>1</v>
      </c>
      <c r="Q151" s="125"/>
      <c r="R151" s="125"/>
    </row>
    <row r="152" spans="1:18" s="103" customFormat="1" ht="15" customHeight="1" x14ac:dyDescent="0.45">
      <c r="A152" s="148" t="s">
        <v>202</v>
      </c>
      <c r="B152" s="130" t="s">
        <v>233</v>
      </c>
      <c r="C152" s="126"/>
      <c r="D152" s="280"/>
      <c r="E152" s="143">
        <f>IF(E153+E155&gt;0,1,0)</f>
        <v>0</v>
      </c>
      <c r="F152" s="123"/>
      <c r="I152" s="123"/>
      <c r="J152" s="128"/>
      <c r="K152" s="129"/>
      <c r="L152"/>
      <c r="P152" s="124">
        <f t="shared" si="0"/>
        <v>0</v>
      </c>
      <c r="Q152" s="125"/>
      <c r="R152" s="125"/>
    </row>
    <row r="153" spans="1:18" s="103" customFormat="1" ht="15" customHeight="1" x14ac:dyDescent="0.45">
      <c r="A153" s="121"/>
      <c r="C153" s="199" t="s">
        <v>195</v>
      </c>
      <c r="D153" s="1" t="s">
        <v>153</v>
      </c>
      <c r="E153" s="334">
        <f>SUMIF(F$7:L$7,"всего",F153:L153)</f>
        <v>0</v>
      </c>
      <c r="F153" s="123">
        <f>SUM(G153:H153)</f>
        <v>0</v>
      </c>
      <c r="G153" s="126">
        <f>IF($B152=_1!E$15,_1!E$16,0)</f>
        <v>0</v>
      </c>
      <c r="H153" s="126">
        <f>IF($B152=_1!F$15,_1!F$16,0)</f>
        <v>0</v>
      </c>
      <c r="I153" s="123">
        <f>SUM(J153:K153)</f>
        <v>0</v>
      </c>
      <c r="J153" s="126">
        <f>IF($B152=_1!H$15,_1!H$16,0)</f>
        <v>0</v>
      </c>
      <c r="K153" s="348">
        <f>IF($B152=_1!I$15,_1!I$16,0)</f>
        <v>0</v>
      </c>
      <c r="L153"/>
      <c r="P153" s="124">
        <f t="shared" si="0"/>
        <v>0</v>
      </c>
      <c r="Q153" s="125"/>
      <c r="R153" s="125"/>
    </row>
    <row r="154" spans="1:18" s="103" customFormat="1" ht="15" customHeight="1" x14ac:dyDescent="0.45">
      <c r="A154" s="121"/>
      <c r="C154" s="199" t="s">
        <v>222</v>
      </c>
      <c r="D154" s="1" t="s">
        <v>120</v>
      </c>
      <c r="E154" s="334">
        <f>SUMIF(F$7:L$7,"всего",F154:L154)</f>
        <v>0</v>
      </c>
      <c r="F154" s="123">
        <f>SUM(G154:H154)</f>
        <v>0</v>
      </c>
      <c r="G154" s="103">
        <f>G153*VLOOKUP($B152,'вес заб'!$A$1:$B$16,2,FALSE)</f>
        <v>0</v>
      </c>
      <c r="H154" s="103">
        <f>H153*VLOOKUP($B152,'вес заб'!$A$1:$B$16,2,FALSE)</f>
        <v>0</v>
      </c>
      <c r="I154" s="123">
        <f>SUM(J154:K154)</f>
        <v>0</v>
      </c>
      <c r="J154" s="103">
        <f>J153*VLOOKUP($B152,'вес заб'!$A$1:$B$16,2,FALSE)</f>
        <v>0</v>
      </c>
      <c r="K154" s="119">
        <f>K153*VLOOKUP($B152,'вес заб'!$A$1:$B$16,2,FALSE)</f>
        <v>0</v>
      </c>
      <c r="L154"/>
      <c r="P154" s="124">
        <f t="shared" si="0"/>
        <v>0</v>
      </c>
      <c r="Q154" s="125"/>
      <c r="R154" s="125"/>
    </row>
    <row r="155" spans="1:18" s="103" customFormat="1" ht="15" customHeight="1" x14ac:dyDescent="0.45">
      <c r="A155" s="123"/>
      <c r="C155" s="199" t="s">
        <v>196</v>
      </c>
      <c r="D155" s="1" t="s">
        <v>153</v>
      </c>
      <c r="E155" s="334">
        <f>SUMIF(F$7:L$7,"всего",F155:L155)</f>
        <v>0</v>
      </c>
      <c r="F155" s="123">
        <f>SUM(G155:H155)</f>
        <v>0</v>
      </c>
      <c r="G155" s="103">
        <f>IF($B152=_1!E$15,_1!E$17,0)</f>
        <v>0</v>
      </c>
      <c r="H155" s="103">
        <f>IF($B152=_1!F$15,_1!F$17,0)</f>
        <v>0</v>
      </c>
      <c r="I155" s="123">
        <f>SUM(J155:K155)</f>
        <v>0</v>
      </c>
      <c r="J155" s="103">
        <f>IF($B152=_1!H$15,_1!H$17,0)</f>
        <v>0</v>
      </c>
      <c r="K155" s="119">
        <f>IF($B152=_1!I$15,_1!I$17,0)</f>
        <v>0</v>
      </c>
      <c r="L155"/>
      <c r="P155" s="124">
        <f t="shared" si="0"/>
        <v>0</v>
      </c>
      <c r="Q155" s="125"/>
      <c r="R155" s="125"/>
    </row>
    <row r="156" spans="1:18" s="103" customFormat="1" ht="15" customHeight="1" x14ac:dyDescent="0.45">
      <c r="A156" s="123"/>
      <c r="C156" s="199" t="s">
        <v>222</v>
      </c>
      <c r="D156" s="1" t="s">
        <v>120</v>
      </c>
      <c r="E156" s="334">
        <f>SUMIF(F$7:L$7,"всего",F156:L156)</f>
        <v>0</v>
      </c>
      <c r="F156" s="123">
        <f>SUM(G156:H156)</f>
        <v>0</v>
      </c>
      <c r="G156" s="103">
        <f>G155*VLOOKUP($B152,'вес заб'!$A$1:$B$16,2,FALSE)</f>
        <v>0</v>
      </c>
      <c r="H156" s="103">
        <f>H155*VLOOKUP($B152,'вес заб'!$A$1:$B$16,2,FALSE)</f>
        <v>0</v>
      </c>
      <c r="I156" s="123">
        <f>SUM(J156:K156)</f>
        <v>0</v>
      </c>
      <c r="J156" s="103">
        <f>J155*VLOOKUP($B152,'вес заб'!$A$1:$B$16,2,FALSE)</f>
        <v>0</v>
      </c>
      <c r="K156" s="119">
        <f>K155*VLOOKUP($B152,'вес заб'!$A$1:$B$16,2,FALSE)</f>
        <v>0</v>
      </c>
      <c r="L156"/>
      <c r="P156" s="124">
        <f t="shared" si="0"/>
        <v>0</v>
      </c>
      <c r="Q156" s="125"/>
      <c r="R156" s="125"/>
    </row>
    <row r="157" spans="1:18" s="103" customFormat="1" ht="15" customHeight="1" x14ac:dyDescent="0.45">
      <c r="A157" s="121" t="s">
        <v>242</v>
      </c>
      <c r="D157" s="199"/>
      <c r="E157" s="141">
        <f>IF((OR(E158&lt;&gt;0,E160&lt;&gt;0,E162&lt;&gt;0,E164&lt;&gt;0,)),1,0)</f>
        <v>0</v>
      </c>
      <c r="F157" s="127"/>
      <c r="G157" s="128"/>
      <c r="H157" s="128"/>
      <c r="I157" s="123"/>
      <c r="J157" s="128"/>
      <c r="K157" s="129"/>
      <c r="L157"/>
      <c r="P157" s="124">
        <f t="shared" si="0"/>
        <v>0</v>
      </c>
      <c r="Q157" s="125"/>
      <c r="R157" s="125"/>
    </row>
    <row r="158" spans="1:18" s="103" customFormat="1" ht="15" customHeight="1" x14ac:dyDescent="0.45">
      <c r="A158" s="409" t="s">
        <v>240</v>
      </c>
      <c r="B158" s="407" t="s">
        <v>195</v>
      </c>
      <c r="C158" s="407"/>
      <c r="D158" s="1" t="s">
        <v>162</v>
      </c>
      <c r="E158" s="334">
        <f>SUMIF(F$7:L$7,"всего",F158:L158)</f>
        <v>0</v>
      </c>
      <c r="F158" s="123">
        <f t="shared" ref="F158:F165" si="28">SUM(G158:H158)</f>
        <v>0</v>
      </c>
      <c r="G158" s="103">
        <f>G153*_1!E$19</f>
        <v>0</v>
      </c>
      <c r="H158" s="103">
        <f>H153*_1!F$19</f>
        <v>0</v>
      </c>
      <c r="I158" s="123">
        <f t="shared" ref="I158:I165" si="29">SUM(J158:K158)</f>
        <v>0</v>
      </c>
      <c r="J158" s="103">
        <f>J153*_1!H$19</f>
        <v>0</v>
      </c>
      <c r="K158" s="119">
        <f>K153*_1!I$19</f>
        <v>0</v>
      </c>
      <c r="L158"/>
      <c r="P158" s="124">
        <f t="shared" si="0"/>
        <v>0</v>
      </c>
      <c r="Q158" s="125"/>
      <c r="R158" s="125"/>
    </row>
    <row r="159" spans="1:18" s="103" customFormat="1" ht="15" customHeight="1" x14ac:dyDescent="0.45">
      <c r="A159" s="410"/>
      <c r="B159" s="407"/>
      <c r="C159" s="407"/>
      <c r="D159" s="1" t="s">
        <v>120</v>
      </c>
      <c r="E159" s="334">
        <f t="shared" ref="E159:E165" si="30">SUMIF(F$7:L$7,"всего",F159:L159)</f>
        <v>0</v>
      </c>
      <c r="F159" s="123">
        <f t="shared" si="28"/>
        <v>0</v>
      </c>
      <c r="G159" s="103">
        <f>ROUND(G158*_1!$E$14*_1!$E$14,1)</f>
        <v>0</v>
      </c>
      <c r="H159" s="103">
        <f>ROUND(H158*_1!$F$14*_1!$F$14,1)</f>
        <v>0</v>
      </c>
      <c r="I159" s="123">
        <f t="shared" si="29"/>
        <v>0</v>
      </c>
      <c r="J159" s="103">
        <f>ROUND(J158*_1!$H$14*_1!$H$14,1)</f>
        <v>0</v>
      </c>
      <c r="K159" s="119">
        <f>ROUND(K158*_1!$I$14*_1!$I$14,1)</f>
        <v>0</v>
      </c>
      <c r="L159"/>
      <c r="P159" s="124">
        <f t="shared" si="0"/>
        <v>0</v>
      </c>
      <c r="Q159" s="125"/>
      <c r="R159" s="125"/>
    </row>
    <row r="160" spans="1:18" s="103" customFormat="1" ht="15" customHeight="1" x14ac:dyDescent="0.45">
      <c r="A160" s="410"/>
      <c r="B160" s="407" t="s">
        <v>196</v>
      </c>
      <c r="C160" s="407"/>
      <c r="D160" s="1" t="s">
        <v>162</v>
      </c>
      <c r="E160" s="334">
        <f t="shared" si="30"/>
        <v>0</v>
      </c>
      <c r="F160" s="123">
        <f t="shared" si="28"/>
        <v>0</v>
      </c>
      <c r="G160" s="103">
        <f>G155*_1!E$19</f>
        <v>0</v>
      </c>
      <c r="H160" s="103">
        <f>H155*_1!F$19</f>
        <v>0</v>
      </c>
      <c r="I160" s="123">
        <f t="shared" si="29"/>
        <v>0</v>
      </c>
      <c r="J160" s="103">
        <f>J155*_1!H$19</f>
        <v>0</v>
      </c>
      <c r="K160" s="119">
        <f>K155*_1!I$19</f>
        <v>0</v>
      </c>
      <c r="L160"/>
      <c r="P160" s="124">
        <f t="shared" si="0"/>
        <v>0</v>
      </c>
      <c r="Q160" s="125"/>
      <c r="R160" s="125"/>
    </row>
    <row r="161" spans="1:18" s="103" customFormat="1" ht="15" customHeight="1" x14ac:dyDescent="0.45">
      <c r="A161" s="410"/>
      <c r="B161" s="407"/>
      <c r="C161" s="407"/>
      <c r="D161" s="1" t="s">
        <v>120</v>
      </c>
      <c r="E161" s="334">
        <f t="shared" si="30"/>
        <v>0</v>
      </c>
      <c r="F161" s="123">
        <f t="shared" si="28"/>
        <v>0</v>
      </c>
      <c r="G161" s="103">
        <f>ROUND(G160*_1!$E$14*_1!$E$14,1)</f>
        <v>0</v>
      </c>
      <c r="H161" s="103">
        <f>ROUND(H160*_1!$F$14*_1!$F$14,1)</f>
        <v>0</v>
      </c>
      <c r="I161" s="123">
        <f t="shared" si="29"/>
        <v>0</v>
      </c>
      <c r="J161" s="103">
        <f>ROUND(J160*_1!$H$14*_1!$H$14,1)</f>
        <v>0</v>
      </c>
      <c r="K161" s="119">
        <f>ROUND(K160*_1!$I$14*_1!$I$14,1)</f>
        <v>0</v>
      </c>
      <c r="L161"/>
      <c r="P161" s="124">
        <f t="shared" si="0"/>
        <v>0</v>
      </c>
      <c r="Q161" s="125"/>
      <c r="R161" s="125"/>
    </row>
    <row r="162" spans="1:18" s="103" customFormat="1" ht="15" customHeight="1" x14ac:dyDescent="0.45">
      <c r="A162" s="409" t="s">
        <v>241</v>
      </c>
      <c r="B162" s="407" t="s">
        <v>195</v>
      </c>
      <c r="C162" s="407"/>
      <c r="D162" s="1" t="s">
        <v>162</v>
      </c>
      <c r="E162" s="334">
        <f t="shared" si="30"/>
        <v>0</v>
      </c>
      <c r="F162" s="123">
        <f t="shared" si="28"/>
        <v>0</v>
      </c>
      <c r="G162" s="103">
        <f>G153*_1!E$20</f>
        <v>0</v>
      </c>
      <c r="H162" s="103">
        <f>H153*_1!F$20</f>
        <v>0</v>
      </c>
      <c r="I162" s="123">
        <f t="shared" si="29"/>
        <v>0</v>
      </c>
      <c r="J162" s="103">
        <f>J153*_1!H$20</f>
        <v>0</v>
      </c>
      <c r="K162" s="119">
        <f>K153*_1!I$20</f>
        <v>0</v>
      </c>
      <c r="L162"/>
      <c r="P162" s="124">
        <f t="shared" si="0"/>
        <v>0</v>
      </c>
      <c r="Q162" s="125"/>
      <c r="R162" s="125"/>
    </row>
    <row r="163" spans="1:18" s="103" customFormat="1" ht="15" customHeight="1" x14ac:dyDescent="0.45">
      <c r="A163" s="410"/>
      <c r="B163" s="407"/>
      <c r="C163" s="407"/>
      <c r="D163" s="1" t="s">
        <v>120</v>
      </c>
      <c r="E163" s="334">
        <f t="shared" si="30"/>
        <v>0</v>
      </c>
      <c r="F163" s="123">
        <f t="shared" si="28"/>
        <v>0</v>
      </c>
      <c r="G163" s="103">
        <f>ROUND(G162*_1!$E$14*_1!$E$14,1)</f>
        <v>0</v>
      </c>
      <c r="H163" s="103">
        <f>ROUND(H162*_1!$F$14*_1!$F$14,1)</f>
        <v>0</v>
      </c>
      <c r="I163" s="123">
        <f t="shared" si="29"/>
        <v>0</v>
      </c>
      <c r="J163" s="103">
        <f>ROUND(J162*_1!$H$14*_1!$H$14,1)</f>
        <v>0</v>
      </c>
      <c r="K163" s="119">
        <f>ROUND(K162*_1!$I$14*_1!$I$14,1)</f>
        <v>0</v>
      </c>
      <c r="L163"/>
      <c r="P163" s="124">
        <f t="shared" si="0"/>
        <v>0</v>
      </c>
      <c r="Q163" s="125"/>
      <c r="R163" s="125"/>
    </row>
    <row r="164" spans="1:18" s="103" customFormat="1" ht="15" customHeight="1" x14ac:dyDescent="0.45">
      <c r="A164" s="410"/>
      <c r="B164" s="407" t="s">
        <v>196</v>
      </c>
      <c r="C164" s="407"/>
      <c r="D164" s="1" t="s">
        <v>162</v>
      </c>
      <c r="E164" s="334">
        <f t="shared" si="30"/>
        <v>0</v>
      </c>
      <c r="F164" s="123">
        <f t="shared" si="28"/>
        <v>0</v>
      </c>
      <c r="G164" s="103">
        <f>G155*_1!E$20</f>
        <v>0</v>
      </c>
      <c r="H164" s="103">
        <f>H155*_1!F$20</f>
        <v>0</v>
      </c>
      <c r="I164" s="123">
        <f t="shared" si="29"/>
        <v>0</v>
      </c>
      <c r="J164" s="103">
        <f>J155*_1!H$20</f>
        <v>0</v>
      </c>
      <c r="K164" s="119">
        <f>K155*_1!I$20</f>
        <v>0</v>
      </c>
      <c r="L164"/>
      <c r="P164" s="124">
        <f t="shared" si="0"/>
        <v>0</v>
      </c>
      <c r="Q164" s="125"/>
      <c r="R164" s="125"/>
    </row>
    <row r="165" spans="1:18" s="103" customFormat="1" ht="15" customHeight="1" x14ac:dyDescent="0.45">
      <c r="A165" s="410"/>
      <c r="B165" s="407"/>
      <c r="C165" s="407"/>
      <c r="D165" s="1" t="s">
        <v>120</v>
      </c>
      <c r="E165" s="334">
        <f t="shared" si="30"/>
        <v>0</v>
      </c>
      <c r="F165" s="123">
        <f t="shared" si="28"/>
        <v>0</v>
      </c>
      <c r="G165" s="103">
        <f>ROUND(G164*_1!$E$14*_1!$E$14,1)</f>
        <v>0</v>
      </c>
      <c r="H165" s="103">
        <f>ROUND(H164*_1!$F$14*_1!$F$14,1)</f>
        <v>0</v>
      </c>
      <c r="I165" s="123">
        <f t="shared" si="29"/>
        <v>0</v>
      </c>
      <c r="J165" s="103">
        <f>ROUND(J164*_1!$H$14*_1!$H$14,1)</f>
        <v>0</v>
      </c>
      <c r="K165" s="119">
        <f>ROUND(K164*_1!$I$14*_1!$I$14,1)</f>
        <v>0</v>
      </c>
      <c r="L165"/>
      <c r="P165" s="124">
        <f t="shared" si="0"/>
        <v>0</v>
      </c>
      <c r="Q165" s="125"/>
      <c r="R165" s="125"/>
    </row>
    <row r="166" spans="1:18" s="103" customFormat="1" ht="15" customHeight="1" x14ac:dyDescent="0.45">
      <c r="A166" s="136"/>
      <c r="B166" s="406" t="s">
        <v>239</v>
      </c>
      <c r="C166" s="407"/>
      <c r="D166" s="1" t="s">
        <v>162</v>
      </c>
      <c r="E166" s="123">
        <f>E158+E160+E162+E164</f>
        <v>0</v>
      </c>
      <c r="F166" s="123"/>
      <c r="I166" s="123"/>
      <c r="K166" s="119"/>
      <c r="L166"/>
      <c r="P166" s="124">
        <f t="shared" si="0"/>
        <v>0</v>
      </c>
      <c r="Q166" s="125"/>
      <c r="R166" s="125"/>
    </row>
    <row r="167" spans="1:18" s="103" customFormat="1" ht="15" customHeight="1" x14ac:dyDescent="0.45">
      <c r="A167" s="145"/>
      <c r="B167" s="408"/>
      <c r="C167" s="408"/>
      <c r="D167" s="313" t="s">
        <v>120</v>
      </c>
      <c r="E167" s="144">
        <f>E159+E161+E163+E165</f>
        <v>0</v>
      </c>
      <c r="F167" s="144"/>
      <c r="G167" s="140"/>
      <c r="H167" s="140"/>
      <c r="I167" s="144"/>
      <c r="J167" s="140"/>
      <c r="K167" s="142"/>
      <c r="L167"/>
      <c r="P167" s="124">
        <f t="shared" si="0"/>
        <v>0</v>
      </c>
      <c r="Q167" s="125"/>
      <c r="R167" s="125"/>
    </row>
    <row r="168" spans="1:18" s="103" customFormat="1" ht="15" customHeight="1" x14ac:dyDescent="0.45">
      <c r="A168" s="148" t="s">
        <v>202</v>
      </c>
      <c r="B168" s="130" t="s">
        <v>234</v>
      </c>
      <c r="C168" s="126"/>
      <c r="D168" s="280"/>
      <c r="E168" s="143">
        <f>IF(E169+E171&gt;0,1,0)</f>
        <v>0</v>
      </c>
      <c r="F168" s="127"/>
      <c r="G168" s="128"/>
      <c r="H168" s="128"/>
      <c r="I168" s="123"/>
      <c r="J168" s="128"/>
      <c r="K168" s="129"/>
      <c r="L168"/>
      <c r="P168" s="124">
        <f t="shared" si="0"/>
        <v>0</v>
      </c>
      <c r="Q168" s="125"/>
      <c r="R168" s="125"/>
    </row>
    <row r="169" spans="1:18" s="103" customFormat="1" ht="15" customHeight="1" x14ac:dyDescent="0.45">
      <c r="A169" s="121"/>
      <c r="C169" s="199" t="s">
        <v>195</v>
      </c>
      <c r="D169" s="1" t="s">
        <v>153</v>
      </c>
      <c r="E169" s="334">
        <f>SUMIF(F$7:L$7,"всего",F169:L169)</f>
        <v>0</v>
      </c>
      <c r="F169" s="123">
        <f>SUM(G169:H169)</f>
        <v>0</v>
      </c>
      <c r="G169" s="126">
        <f>IF($B168=_1!E$15,_1!E$16,0)</f>
        <v>0</v>
      </c>
      <c r="H169" s="126">
        <f>IF($B168=_1!F$15,_1!F$16,0)</f>
        <v>0</v>
      </c>
      <c r="I169" s="123">
        <f>SUM(J169:K169)</f>
        <v>0</v>
      </c>
      <c r="J169" s="126">
        <f>IF($B168=_1!H$15,_1!H$16,0)</f>
        <v>0</v>
      </c>
      <c r="K169" s="348">
        <f>IF($B168=_1!I$15,_1!I$16,0)</f>
        <v>0</v>
      </c>
      <c r="L169"/>
      <c r="P169" s="124">
        <f t="shared" si="0"/>
        <v>0</v>
      </c>
      <c r="Q169" s="125"/>
      <c r="R169" s="125"/>
    </row>
    <row r="170" spans="1:18" s="103" customFormat="1" ht="15" customHeight="1" x14ac:dyDescent="0.45">
      <c r="A170" s="121"/>
      <c r="C170" s="199" t="s">
        <v>222</v>
      </c>
      <c r="D170" s="1" t="s">
        <v>120</v>
      </c>
      <c r="E170" s="334">
        <f>SUMIF(F$7:L$7,"всего",F170:L170)</f>
        <v>0</v>
      </c>
      <c r="F170" s="123">
        <f>SUM(G170:H170)</f>
        <v>0</v>
      </c>
      <c r="G170" s="103">
        <f>G169*VLOOKUP($B168,'вес заб'!$A$1:$B$16,2,FALSE)</f>
        <v>0</v>
      </c>
      <c r="H170" s="103">
        <f>H169*VLOOKUP($B168,'вес заб'!$A$1:$B$16,2,FALSE)</f>
        <v>0</v>
      </c>
      <c r="I170" s="123">
        <f>SUM(J170:K170)</f>
        <v>0</v>
      </c>
      <c r="J170" s="103">
        <f>J169*VLOOKUP($B168,'вес заб'!$A$1:$B$16,2,FALSE)</f>
        <v>0</v>
      </c>
      <c r="K170" s="119">
        <f>K169*VLOOKUP($B168,'вес заб'!$A$1:$B$16,2,FALSE)</f>
        <v>0</v>
      </c>
      <c r="L170"/>
      <c r="P170" s="124">
        <f t="shared" si="0"/>
        <v>0</v>
      </c>
      <c r="Q170" s="125"/>
      <c r="R170" s="125"/>
    </row>
    <row r="171" spans="1:18" s="103" customFormat="1" ht="15" customHeight="1" x14ac:dyDescent="0.45">
      <c r="A171" s="123"/>
      <c r="C171" s="199" t="s">
        <v>196</v>
      </c>
      <c r="D171" s="1" t="s">
        <v>153</v>
      </c>
      <c r="E171" s="334">
        <f>SUMIF(F$7:L$7,"всего",F171:L171)</f>
        <v>0</v>
      </c>
      <c r="F171" s="123">
        <f>SUM(G171:H171)</f>
        <v>0</v>
      </c>
      <c r="G171" s="103">
        <f>IF($B168=_1!E$15,_1!E$17,0)</f>
        <v>0</v>
      </c>
      <c r="H171" s="103">
        <f>IF($B168=_1!F$15,_1!F$17,0)</f>
        <v>0</v>
      </c>
      <c r="I171" s="123">
        <f>SUM(J171:K171)</f>
        <v>0</v>
      </c>
      <c r="J171" s="103">
        <f>IF($B168=_1!H$15,_1!H$17,0)</f>
        <v>0</v>
      </c>
      <c r="K171" s="119">
        <f>IF($B168=_1!I$15,_1!I$17,0)</f>
        <v>0</v>
      </c>
      <c r="L171"/>
      <c r="P171" s="124">
        <f t="shared" si="0"/>
        <v>0</v>
      </c>
      <c r="Q171" s="125"/>
      <c r="R171" s="125"/>
    </row>
    <row r="172" spans="1:18" s="103" customFormat="1" ht="15" customHeight="1" x14ac:dyDescent="0.45">
      <c r="A172" s="123"/>
      <c r="C172" s="199" t="s">
        <v>222</v>
      </c>
      <c r="D172" s="1" t="s">
        <v>120</v>
      </c>
      <c r="E172" s="334">
        <f>SUMIF(F$7:L$7,"всего",F172:L172)</f>
        <v>0</v>
      </c>
      <c r="F172" s="123">
        <f>SUM(G172:H172)</f>
        <v>0</v>
      </c>
      <c r="G172" s="103">
        <f>G171*VLOOKUP($B168,'вес заб'!$A$1:$B$16,2,FALSE)</f>
        <v>0</v>
      </c>
      <c r="H172" s="103">
        <f>H171*VLOOKUP($B168,'вес заб'!$A$1:$B$16,2,FALSE)</f>
        <v>0</v>
      </c>
      <c r="I172" s="123">
        <f>SUM(J172:K172)</f>
        <v>0</v>
      </c>
      <c r="J172" s="103">
        <f>J171*VLOOKUP($B168,'вес заб'!$A$1:$B$16,2,FALSE)</f>
        <v>0</v>
      </c>
      <c r="K172" s="119">
        <f>K171*VLOOKUP($B168,'вес заб'!$A$1:$B$16,2,FALSE)</f>
        <v>0</v>
      </c>
      <c r="L172"/>
      <c r="P172" s="124">
        <f t="shared" si="0"/>
        <v>0</v>
      </c>
      <c r="Q172" s="125"/>
      <c r="R172" s="125"/>
    </row>
    <row r="173" spans="1:18" s="103" customFormat="1" ht="15" customHeight="1" x14ac:dyDescent="0.45">
      <c r="A173" s="121" t="s">
        <v>242</v>
      </c>
      <c r="D173" s="199"/>
      <c r="E173" s="141">
        <f>IF((OR(E174&lt;&gt;0,E176&lt;&gt;0,E178&lt;&gt;0,E180&lt;&gt;0,)),1,0)</f>
        <v>0</v>
      </c>
      <c r="F173" s="127"/>
      <c r="G173" s="128"/>
      <c r="H173" s="128"/>
      <c r="I173" s="123"/>
      <c r="J173" s="128"/>
      <c r="K173" s="129"/>
      <c r="L173"/>
      <c r="P173" s="124">
        <f t="shared" si="0"/>
        <v>0</v>
      </c>
      <c r="Q173" s="125"/>
      <c r="R173" s="125"/>
    </row>
    <row r="174" spans="1:18" s="103" customFormat="1" ht="15" customHeight="1" x14ac:dyDescent="0.45">
      <c r="A174" s="409" t="s">
        <v>240</v>
      </c>
      <c r="B174" s="407" t="s">
        <v>195</v>
      </c>
      <c r="C174" s="407"/>
      <c r="D174" s="1" t="s">
        <v>162</v>
      </c>
      <c r="E174" s="334">
        <f>SUMIF(F$7:L$7,"всего",F174:L174)</f>
        <v>0</v>
      </c>
      <c r="F174" s="123">
        <f t="shared" ref="F174:F181" si="31">SUM(G174:H174)</f>
        <v>0</v>
      </c>
      <c r="G174" s="103">
        <f>G169*_1!E$19</f>
        <v>0</v>
      </c>
      <c r="H174" s="103">
        <f>H169*_1!F$19</f>
        <v>0</v>
      </c>
      <c r="I174" s="123">
        <f t="shared" ref="I174:I181" si="32">SUM(J174:K174)</f>
        <v>0</v>
      </c>
      <c r="J174" s="103">
        <f>J169*_1!H$19</f>
        <v>0</v>
      </c>
      <c r="K174" s="119">
        <f>K169*_1!I$19</f>
        <v>0</v>
      </c>
      <c r="L174"/>
      <c r="P174" s="124">
        <f t="shared" si="0"/>
        <v>0</v>
      </c>
      <c r="Q174" s="125"/>
      <c r="R174" s="125"/>
    </row>
    <row r="175" spans="1:18" s="103" customFormat="1" ht="15" customHeight="1" x14ac:dyDescent="0.45">
      <c r="A175" s="410"/>
      <c r="B175" s="407"/>
      <c r="C175" s="407"/>
      <c r="D175" s="1" t="s">
        <v>120</v>
      </c>
      <c r="E175" s="334">
        <f t="shared" ref="E175:E181" si="33">SUMIF(F$7:L$7,"всего",F175:L175)</f>
        <v>0</v>
      </c>
      <c r="F175" s="123">
        <f t="shared" si="31"/>
        <v>0</v>
      </c>
      <c r="G175" s="103">
        <f>ROUND(G174*_1!$E$14*_1!$E$14,1)</f>
        <v>0</v>
      </c>
      <c r="H175" s="103">
        <f>ROUND(H174*_1!$F$14*_1!$F$14,1)</f>
        <v>0</v>
      </c>
      <c r="I175" s="123">
        <f t="shared" si="32"/>
        <v>0</v>
      </c>
      <c r="J175" s="103">
        <f>ROUND(J174*_1!$H$14*_1!$H$14,1)</f>
        <v>0</v>
      </c>
      <c r="K175" s="119">
        <f>ROUND(K174*_1!$I$14*_1!$I$14,1)</f>
        <v>0</v>
      </c>
      <c r="L175"/>
      <c r="P175" s="124">
        <f t="shared" si="0"/>
        <v>0</v>
      </c>
      <c r="Q175" s="125"/>
      <c r="R175" s="125"/>
    </row>
    <row r="176" spans="1:18" s="103" customFormat="1" ht="15" customHeight="1" x14ac:dyDescent="0.45">
      <c r="A176" s="410"/>
      <c r="B176" s="407" t="s">
        <v>196</v>
      </c>
      <c r="C176" s="407"/>
      <c r="D176" s="1" t="s">
        <v>162</v>
      </c>
      <c r="E176" s="334">
        <f t="shared" si="33"/>
        <v>0</v>
      </c>
      <c r="F176" s="123">
        <f t="shared" si="31"/>
        <v>0</v>
      </c>
      <c r="G176" s="103">
        <f>G171*_1!E$19</f>
        <v>0</v>
      </c>
      <c r="H176" s="103">
        <f>H171*_1!F$19</f>
        <v>0</v>
      </c>
      <c r="I176" s="123">
        <f t="shared" si="32"/>
        <v>0</v>
      </c>
      <c r="J176" s="103">
        <f>J171*_1!H$19</f>
        <v>0</v>
      </c>
      <c r="K176" s="119">
        <f>K171*_1!I$19</f>
        <v>0</v>
      </c>
      <c r="L176"/>
      <c r="P176" s="124">
        <f t="shared" si="0"/>
        <v>0</v>
      </c>
      <c r="Q176" s="125"/>
      <c r="R176" s="125"/>
    </row>
    <row r="177" spans="1:18" s="103" customFormat="1" ht="15" customHeight="1" x14ac:dyDescent="0.45">
      <c r="A177" s="410"/>
      <c r="B177" s="407"/>
      <c r="C177" s="407"/>
      <c r="D177" s="1" t="s">
        <v>120</v>
      </c>
      <c r="E177" s="334">
        <f t="shared" si="33"/>
        <v>0</v>
      </c>
      <c r="F177" s="123">
        <f t="shared" si="31"/>
        <v>0</v>
      </c>
      <c r="G177" s="103">
        <f>ROUND(G176*_1!$E$14*_1!$E$14,1)</f>
        <v>0</v>
      </c>
      <c r="H177" s="103">
        <f>ROUND(H176*_1!$F$14*_1!$F$14,1)</f>
        <v>0</v>
      </c>
      <c r="I177" s="123">
        <f t="shared" si="32"/>
        <v>0</v>
      </c>
      <c r="J177" s="103">
        <f>ROUND(J176*_1!$H$14*_1!$H$14,1)</f>
        <v>0</v>
      </c>
      <c r="K177" s="119">
        <f>ROUND(K176*_1!$I$14*_1!$I$14,1)</f>
        <v>0</v>
      </c>
      <c r="L177"/>
      <c r="P177" s="124">
        <f t="shared" si="0"/>
        <v>0</v>
      </c>
      <c r="Q177" s="125"/>
      <c r="R177" s="125"/>
    </row>
    <row r="178" spans="1:18" s="103" customFormat="1" ht="15" customHeight="1" x14ac:dyDescent="0.45">
      <c r="A178" s="409" t="s">
        <v>241</v>
      </c>
      <c r="B178" s="407" t="s">
        <v>195</v>
      </c>
      <c r="C178" s="407"/>
      <c r="D178" s="1" t="s">
        <v>162</v>
      </c>
      <c r="E178" s="334">
        <f t="shared" si="33"/>
        <v>0</v>
      </c>
      <c r="F178" s="123">
        <f t="shared" si="31"/>
        <v>0</v>
      </c>
      <c r="G178" s="103">
        <f>G169*_1!E$20</f>
        <v>0</v>
      </c>
      <c r="H178" s="103">
        <f>H169*_1!F$20</f>
        <v>0</v>
      </c>
      <c r="I178" s="123">
        <f t="shared" si="32"/>
        <v>0</v>
      </c>
      <c r="J178" s="103">
        <f>J169*_1!H$20</f>
        <v>0</v>
      </c>
      <c r="K178" s="119">
        <f>K169*_1!I$20</f>
        <v>0</v>
      </c>
      <c r="L178"/>
      <c r="P178" s="124">
        <f t="shared" si="0"/>
        <v>0</v>
      </c>
      <c r="Q178" s="125"/>
      <c r="R178" s="125"/>
    </row>
    <row r="179" spans="1:18" s="103" customFormat="1" ht="15" customHeight="1" x14ac:dyDescent="0.45">
      <c r="A179" s="410"/>
      <c r="B179" s="407"/>
      <c r="C179" s="407"/>
      <c r="D179" s="1" t="s">
        <v>120</v>
      </c>
      <c r="E179" s="334">
        <f t="shared" si="33"/>
        <v>0</v>
      </c>
      <c r="F179" s="123">
        <f t="shared" si="31"/>
        <v>0</v>
      </c>
      <c r="G179" s="103">
        <f>ROUND(G178*_1!$E$14*_1!$E$14,1)</f>
        <v>0</v>
      </c>
      <c r="H179" s="103">
        <f>ROUND(H178*_1!$F$14*_1!$F$14,1)</f>
        <v>0</v>
      </c>
      <c r="I179" s="123">
        <f t="shared" si="32"/>
        <v>0</v>
      </c>
      <c r="J179" s="103">
        <f>ROUND(J178*_1!$H$14*_1!$H$14,1)</f>
        <v>0</v>
      </c>
      <c r="K179" s="119">
        <f>ROUND(K178*_1!$I$14*_1!$I$14,1)</f>
        <v>0</v>
      </c>
      <c r="L179"/>
      <c r="P179" s="124">
        <f t="shared" si="0"/>
        <v>0</v>
      </c>
      <c r="Q179" s="125"/>
      <c r="R179" s="125"/>
    </row>
    <row r="180" spans="1:18" s="103" customFormat="1" ht="15" customHeight="1" x14ac:dyDescent="0.45">
      <c r="A180" s="410"/>
      <c r="B180" s="407" t="s">
        <v>196</v>
      </c>
      <c r="C180" s="407"/>
      <c r="D180" s="1" t="s">
        <v>162</v>
      </c>
      <c r="E180" s="334">
        <f t="shared" si="33"/>
        <v>0</v>
      </c>
      <c r="F180" s="123">
        <f t="shared" si="31"/>
        <v>0</v>
      </c>
      <c r="G180" s="103">
        <f>G171*_1!E$20</f>
        <v>0</v>
      </c>
      <c r="H180" s="103">
        <f>H171*_1!F$20</f>
        <v>0</v>
      </c>
      <c r="I180" s="123">
        <f t="shared" si="32"/>
        <v>0</v>
      </c>
      <c r="J180" s="103">
        <f>J171*_1!H$20</f>
        <v>0</v>
      </c>
      <c r="K180" s="119">
        <f>K171*_1!I$20</f>
        <v>0</v>
      </c>
      <c r="L180"/>
      <c r="P180" s="124">
        <f t="shared" si="0"/>
        <v>0</v>
      </c>
      <c r="Q180" s="125"/>
      <c r="R180" s="125"/>
    </row>
    <row r="181" spans="1:18" s="103" customFormat="1" ht="15" customHeight="1" x14ac:dyDescent="0.45">
      <c r="A181" s="410"/>
      <c r="B181" s="407"/>
      <c r="C181" s="407"/>
      <c r="D181" s="1" t="s">
        <v>120</v>
      </c>
      <c r="E181" s="334">
        <f t="shared" si="33"/>
        <v>0</v>
      </c>
      <c r="F181" s="123">
        <f t="shared" si="31"/>
        <v>0</v>
      </c>
      <c r="G181" s="103">
        <f>ROUND(G180*_1!$E$14*_1!$E$14,1)</f>
        <v>0</v>
      </c>
      <c r="H181" s="103">
        <f>ROUND(H180*_1!$F$14*_1!$F$14,1)</f>
        <v>0</v>
      </c>
      <c r="I181" s="123">
        <f t="shared" si="32"/>
        <v>0</v>
      </c>
      <c r="J181" s="103">
        <f>ROUND(J180*_1!$H$14*_1!$H$14,1)</f>
        <v>0</v>
      </c>
      <c r="K181" s="119">
        <f>ROUND(K180*_1!$I$14*_1!$I$14,1)</f>
        <v>0</v>
      </c>
      <c r="L181"/>
      <c r="P181" s="124">
        <f t="shared" si="0"/>
        <v>0</v>
      </c>
      <c r="Q181" s="125"/>
      <c r="R181" s="125"/>
    </row>
    <row r="182" spans="1:18" s="103" customFormat="1" ht="15" customHeight="1" x14ac:dyDescent="0.45">
      <c r="A182" s="136"/>
      <c r="B182" s="406" t="s">
        <v>239</v>
      </c>
      <c r="C182" s="407"/>
      <c r="D182" s="1" t="s">
        <v>162</v>
      </c>
      <c r="E182" s="123">
        <f>E174+E176+E178+E180</f>
        <v>0</v>
      </c>
      <c r="F182" s="123"/>
      <c r="I182" s="123"/>
      <c r="K182" s="119"/>
      <c r="L182"/>
      <c r="P182" s="124">
        <f t="shared" si="0"/>
        <v>0</v>
      </c>
      <c r="Q182" s="125"/>
      <c r="R182" s="125"/>
    </row>
    <row r="183" spans="1:18" s="103" customFormat="1" ht="15" customHeight="1" x14ac:dyDescent="0.45">
      <c r="A183" s="145"/>
      <c r="B183" s="408"/>
      <c r="C183" s="408"/>
      <c r="D183" s="313" t="s">
        <v>120</v>
      </c>
      <c r="E183" s="144">
        <f>E175+E177+E179+E181</f>
        <v>0</v>
      </c>
      <c r="F183" s="144"/>
      <c r="G183" s="140"/>
      <c r="H183" s="140"/>
      <c r="I183" s="144"/>
      <c r="J183" s="140"/>
      <c r="K183" s="142"/>
      <c r="L183"/>
      <c r="P183" s="124">
        <f t="shared" si="0"/>
        <v>0</v>
      </c>
      <c r="Q183" s="125"/>
      <c r="R183" s="125"/>
    </row>
    <row r="184" spans="1:18" s="103" customFormat="1" ht="15" customHeight="1" x14ac:dyDescent="0.45">
      <c r="A184" s="148" t="s">
        <v>202</v>
      </c>
      <c r="B184" s="130" t="s">
        <v>235</v>
      </c>
      <c r="C184" s="126"/>
      <c r="D184" s="280"/>
      <c r="E184" s="143">
        <f>IF(E185+E187&gt;0,1,0)</f>
        <v>0</v>
      </c>
      <c r="F184" s="127"/>
      <c r="G184" s="128"/>
      <c r="H184" s="128"/>
      <c r="I184" s="123"/>
      <c r="J184" s="128"/>
      <c r="K184" s="129"/>
      <c r="L184"/>
      <c r="P184" s="124">
        <f t="shared" si="0"/>
        <v>0</v>
      </c>
      <c r="Q184" s="125"/>
      <c r="R184" s="125"/>
    </row>
    <row r="185" spans="1:18" s="103" customFormat="1" ht="15" customHeight="1" x14ac:dyDescent="0.45">
      <c r="A185" s="121"/>
      <c r="C185" s="199" t="s">
        <v>195</v>
      </c>
      <c r="D185" s="1" t="s">
        <v>153</v>
      </c>
      <c r="E185" s="334">
        <f>SUMIF(F$7:L$7,"всего",F185:L185)</f>
        <v>0</v>
      </c>
      <c r="F185" s="123">
        <f>SUM(G185:H185)</f>
        <v>0</v>
      </c>
      <c r="G185" s="126">
        <f>IF($B184=_1!E$15,_1!E$16,0)</f>
        <v>0</v>
      </c>
      <c r="H185" s="126">
        <f>IF($B184=_1!F$15,_1!F$16,0)</f>
        <v>0</v>
      </c>
      <c r="I185" s="123">
        <f>SUM(J185:K185)</f>
        <v>0</v>
      </c>
      <c r="J185" s="126">
        <f>IF($B184=_1!H$15,_1!H$16,0)</f>
        <v>0</v>
      </c>
      <c r="K185" s="348">
        <f>IF($B184=_1!I$15,_1!I$16,0)</f>
        <v>0</v>
      </c>
      <c r="L185"/>
      <c r="P185" s="124">
        <f t="shared" si="0"/>
        <v>0</v>
      </c>
      <c r="Q185" s="125"/>
      <c r="R185" s="125"/>
    </row>
    <row r="186" spans="1:18" s="103" customFormat="1" ht="15" customHeight="1" x14ac:dyDescent="0.45">
      <c r="A186" s="121"/>
      <c r="C186" s="199" t="s">
        <v>222</v>
      </c>
      <c r="D186" s="1" t="s">
        <v>120</v>
      </c>
      <c r="E186" s="334">
        <f>SUMIF(F$7:L$7,"всего",F186:L186)</f>
        <v>0</v>
      </c>
      <c r="F186" s="123">
        <f>SUM(G186:H186)</f>
        <v>0</v>
      </c>
      <c r="G186" s="103">
        <f>G185*VLOOKUP($B184,'вес заб'!$A$1:$B$16,2,FALSE)</f>
        <v>0</v>
      </c>
      <c r="H186" s="103">
        <f>H185*VLOOKUP($B184,'вес заб'!$A$1:$B$16,2,FALSE)</f>
        <v>0</v>
      </c>
      <c r="I186" s="123">
        <f>SUM(J186:K186)</f>
        <v>0</v>
      </c>
      <c r="J186" s="103">
        <f>J185*VLOOKUP($B184,'вес заб'!$A$1:$B$16,2,FALSE)</f>
        <v>0</v>
      </c>
      <c r="K186" s="119">
        <f>K185*VLOOKUP($B184,'вес заб'!$A$1:$B$16,2,FALSE)</f>
        <v>0</v>
      </c>
      <c r="L186"/>
      <c r="P186" s="124">
        <f t="shared" si="0"/>
        <v>0</v>
      </c>
      <c r="Q186" s="125"/>
      <c r="R186" s="125"/>
    </row>
    <row r="187" spans="1:18" s="103" customFormat="1" ht="15" customHeight="1" x14ac:dyDescent="0.45">
      <c r="A187" s="123"/>
      <c r="C187" s="199" t="s">
        <v>196</v>
      </c>
      <c r="D187" s="1" t="s">
        <v>153</v>
      </c>
      <c r="E187" s="334">
        <f>SUMIF(F$7:L$7,"всего",F187:L187)</f>
        <v>0</v>
      </c>
      <c r="F187" s="123">
        <f>SUM(G187:H187)</f>
        <v>0</v>
      </c>
      <c r="G187" s="103">
        <f>IF($B184=_1!E$15,_1!E$17,0)</f>
        <v>0</v>
      </c>
      <c r="H187" s="103">
        <f>IF($B184=_1!F$15,_1!F$17,0)</f>
        <v>0</v>
      </c>
      <c r="I187" s="123">
        <f>SUM(J187:K187)</f>
        <v>0</v>
      </c>
      <c r="J187" s="103">
        <f>IF($B184=_1!H$15,_1!H$17,0)</f>
        <v>0</v>
      </c>
      <c r="K187" s="119">
        <f>IF($B184=_1!I$15,_1!I$17,0)</f>
        <v>0</v>
      </c>
      <c r="L187"/>
      <c r="P187" s="124">
        <f t="shared" si="0"/>
        <v>0</v>
      </c>
      <c r="Q187" s="125"/>
      <c r="R187" s="125"/>
    </row>
    <row r="188" spans="1:18" s="103" customFormat="1" ht="15" customHeight="1" x14ac:dyDescent="0.45">
      <c r="A188" s="123"/>
      <c r="C188" s="199" t="s">
        <v>222</v>
      </c>
      <c r="D188" s="1" t="s">
        <v>120</v>
      </c>
      <c r="E188" s="334">
        <f>SUMIF(F$7:L$7,"всего",F188:L188)</f>
        <v>0</v>
      </c>
      <c r="F188" s="123">
        <f>SUM(G188:H188)</f>
        <v>0</v>
      </c>
      <c r="G188" s="103">
        <f>G187*VLOOKUP($B184,'вес заб'!$A$1:$B$16,2,FALSE)</f>
        <v>0</v>
      </c>
      <c r="H188" s="103">
        <f>H187*VLOOKUP($B184,'вес заб'!$A$1:$B$16,2,FALSE)</f>
        <v>0</v>
      </c>
      <c r="I188" s="123">
        <f>SUM(J188:K188)</f>
        <v>0</v>
      </c>
      <c r="J188" s="103">
        <f>J187*VLOOKUP($B184,'вес заб'!$A$1:$B$16,2,FALSE)</f>
        <v>0</v>
      </c>
      <c r="K188" s="119">
        <f>K187*VLOOKUP($B184,'вес заб'!$A$1:$B$16,2,FALSE)</f>
        <v>0</v>
      </c>
      <c r="L188"/>
      <c r="P188" s="124">
        <f t="shared" si="0"/>
        <v>0</v>
      </c>
      <c r="Q188" s="125"/>
      <c r="R188" s="125"/>
    </row>
    <row r="189" spans="1:18" s="103" customFormat="1" ht="15" customHeight="1" x14ac:dyDescent="0.45">
      <c r="A189" s="121" t="s">
        <v>242</v>
      </c>
      <c r="D189" s="199"/>
      <c r="E189" s="141">
        <f>IF((OR(E190&lt;&gt;0,E192&lt;&gt;0,E194&lt;&gt;0,E196&lt;&gt;0,)),1,0)</f>
        <v>0</v>
      </c>
      <c r="F189" s="127"/>
      <c r="G189" s="128"/>
      <c r="H189" s="128"/>
      <c r="I189" s="123"/>
      <c r="J189" s="128"/>
      <c r="K189" s="129"/>
      <c r="L189"/>
      <c r="P189" s="124">
        <f t="shared" si="0"/>
        <v>0</v>
      </c>
      <c r="Q189" s="125"/>
      <c r="R189" s="125"/>
    </row>
    <row r="190" spans="1:18" s="103" customFormat="1" ht="15" customHeight="1" x14ac:dyDescent="0.45">
      <c r="A190" s="409" t="s">
        <v>240</v>
      </c>
      <c r="B190" s="407" t="s">
        <v>195</v>
      </c>
      <c r="C190" s="407"/>
      <c r="D190" s="1" t="s">
        <v>162</v>
      </c>
      <c r="E190" s="334">
        <f>SUMIF(F$7:L$7,"всего",F190:L190)</f>
        <v>0</v>
      </c>
      <c r="F190" s="123">
        <f t="shared" ref="F190:F197" si="34">SUM(G190:H190)</f>
        <v>0</v>
      </c>
      <c r="G190" s="103">
        <f>G185*_1!E$19</f>
        <v>0</v>
      </c>
      <c r="H190" s="103">
        <f>H185*_1!F$19</f>
        <v>0</v>
      </c>
      <c r="I190" s="123">
        <f t="shared" ref="I190:I197" si="35">SUM(J190:K190)</f>
        <v>0</v>
      </c>
      <c r="J190" s="103">
        <f>J185*_1!H$19</f>
        <v>0</v>
      </c>
      <c r="K190" s="119">
        <f>K185*_1!I$19</f>
        <v>0</v>
      </c>
      <c r="L190"/>
      <c r="P190" s="124">
        <f t="shared" si="0"/>
        <v>0</v>
      </c>
      <c r="Q190" s="125"/>
      <c r="R190" s="125"/>
    </row>
    <row r="191" spans="1:18" s="103" customFormat="1" ht="15" customHeight="1" x14ac:dyDescent="0.45">
      <c r="A191" s="410"/>
      <c r="B191" s="407"/>
      <c r="C191" s="407"/>
      <c r="D191" s="1" t="s">
        <v>120</v>
      </c>
      <c r="E191" s="334">
        <f t="shared" ref="E191:E197" si="36">SUMIF(F$7:L$7,"всего",F191:L191)</f>
        <v>0</v>
      </c>
      <c r="F191" s="123">
        <f t="shared" si="34"/>
        <v>0</v>
      </c>
      <c r="G191" s="103">
        <f>ROUND(G190*_1!$E$14*_1!$E$14,1)</f>
        <v>0</v>
      </c>
      <c r="H191" s="103">
        <f>ROUND(H190*_1!$F$14*_1!$F$14,1)</f>
        <v>0</v>
      </c>
      <c r="I191" s="123">
        <f t="shared" si="35"/>
        <v>0</v>
      </c>
      <c r="J191" s="103">
        <f>ROUND(J190*_1!$H$14*_1!$H$14,1)</f>
        <v>0</v>
      </c>
      <c r="K191" s="119">
        <f>ROUND(K190*_1!$I$14*_1!$I$14,1)</f>
        <v>0</v>
      </c>
      <c r="L191"/>
      <c r="P191" s="124">
        <f t="shared" ref="P191:P346" si="37">IF(E191=0,0,1)</f>
        <v>0</v>
      </c>
      <c r="Q191" s="125"/>
      <c r="R191" s="125"/>
    </row>
    <row r="192" spans="1:18" s="103" customFormat="1" ht="15" customHeight="1" x14ac:dyDescent="0.45">
      <c r="A192" s="410"/>
      <c r="B192" s="407" t="s">
        <v>196</v>
      </c>
      <c r="C192" s="407"/>
      <c r="D192" s="1" t="s">
        <v>162</v>
      </c>
      <c r="E192" s="334">
        <f t="shared" si="36"/>
        <v>0</v>
      </c>
      <c r="F192" s="123">
        <f t="shared" si="34"/>
        <v>0</v>
      </c>
      <c r="G192" s="103">
        <f>G187*_1!E$19</f>
        <v>0</v>
      </c>
      <c r="H192" s="103">
        <f>H187*_1!F$19</f>
        <v>0</v>
      </c>
      <c r="I192" s="123">
        <f t="shared" si="35"/>
        <v>0</v>
      </c>
      <c r="J192" s="103">
        <f>J187*_1!H$19</f>
        <v>0</v>
      </c>
      <c r="K192" s="119">
        <f>K187*_1!I$19</f>
        <v>0</v>
      </c>
      <c r="L192"/>
      <c r="P192" s="124">
        <f t="shared" si="37"/>
        <v>0</v>
      </c>
      <c r="Q192" s="125"/>
      <c r="R192" s="125"/>
    </row>
    <row r="193" spans="1:18" s="103" customFormat="1" ht="15" customHeight="1" x14ac:dyDescent="0.45">
      <c r="A193" s="410"/>
      <c r="B193" s="407"/>
      <c r="C193" s="407"/>
      <c r="D193" s="1" t="s">
        <v>120</v>
      </c>
      <c r="E193" s="334">
        <f t="shared" si="36"/>
        <v>0</v>
      </c>
      <c r="F193" s="123">
        <f t="shared" si="34"/>
        <v>0</v>
      </c>
      <c r="G193" s="103">
        <f>ROUND(G192*_1!$E$14*_1!$E$14,1)</f>
        <v>0</v>
      </c>
      <c r="H193" s="103">
        <f>ROUND(H192*_1!$F$14*_1!$F$14,1)</f>
        <v>0</v>
      </c>
      <c r="I193" s="123">
        <f t="shared" si="35"/>
        <v>0</v>
      </c>
      <c r="J193" s="103">
        <f>ROUND(J192*_1!$H$14*_1!$H$14,1)</f>
        <v>0</v>
      </c>
      <c r="K193" s="119">
        <f>ROUND(K192*_1!$I$14*_1!$I$14,1)</f>
        <v>0</v>
      </c>
      <c r="L193"/>
      <c r="P193" s="124">
        <f t="shared" si="37"/>
        <v>0</v>
      </c>
      <c r="Q193" s="125"/>
      <c r="R193" s="125"/>
    </row>
    <row r="194" spans="1:18" s="103" customFormat="1" ht="15" customHeight="1" x14ac:dyDescent="0.45">
      <c r="A194" s="409" t="s">
        <v>241</v>
      </c>
      <c r="B194" s="407" t="s">
        <v>195</v>
      </c>
      <c r="C194" s="407"/>
      <c r="D194" s="1" t="s">
        <v>162</v>
      </c>
      <c r="E194" s="334">
        <f t="shared" si="36"/>
        <v>0</v>
      </c>
      <c r="F194" s="123">
        <f t="shared" si="34"/>
        <v>0</v>
      </c>
      <c r="G194" s="103">
        <f>G185*_1!E$20</f>
        <v>0</v>
      </c>
      <c r="H194" s="103">
        <f>H185*_1!F$20</f>
        <v>0</v>
      </c>
      <c r="I194" s="123">
        <f t="shared" si="35"/>
        <v>0</v>
      </c>
      <c r="J194" s="103">
        <f>J185*_1!H$20</f>
        <v>0</v>
      </c>
      <c r="K194" s="119">
        <f>K185*_1!I$20</f>
        <v>0</v>
      </c>
      <c r="L194"/>
      <c r="P194" s="124">
        <f t="shared" si="37"/>
        <v>0</v>
      </c>
      <c r="Q194" s="125"/>
      <c r="R194" s="125"/>
    </row>
    <row r="195" spans="1:18" s="103" customFormat="1" ht="15" customHeight="1" x14ac:dyDescent="0.45">
      <c r="A195" s="410"/>
      <c r="B195" s="407"/>
      <c r="C195" s="407"/>
      <c r="D195" s="1" t="s">
        <v>120</v>
      </c>
      <c r="E195" s="334">
        <f t="shared" si="36"/>
        <v>0</v>
      </c>
      <c r="F195" s="123">
        <f t="shared" si="34"/>
        <v>0</v>
      </c>
      <c r="G195" s="103">
        <f>ROUND(G194*_1!$E$14*_1!$E$14,1)</f>
        <v>0</v>
      </c>
      <c r="H195" s="103">
        <f>ROUND(H194*_1!$F$14*_1!$F$14,1)</f>
        <v>0</v>
      </c>
      <c r="I195" s="123">
        <f t="shared" si="35"/>
        <v>0</v>
      </c>
      <c r="J195" s="103">
        <f>ROUND(J194*_1!$H$14*_1!$H$14,1)</f>
        <v>0</v>
      </c>
      <c r="K195" s="119">
        <f>ROUND(K194*_1!$I$14*_1!$I$14,1)</f>
        <v>0</v>
      </c>
      <c r="L195"/>
      <c r="P195" s="124">
        <f t="shared" si="37"/>
        <v>0</v>
      </c>
      <c r="Q195" s="125"/>
      <c r="R195" s="125"/>
    </row>
    <row r="196" spans="1:18" s="103" customFormat="1" ht="15" customHeight="1" x14ac:dyDescent="0.45">
      <c r="A196" s="410"/>
      <c r="B196" s="407" t="s">
        <v>196</v>
      </c>
      <c r="C196" s="407"/>
      <c r="D196" s="1" t="s">
        <v>162</v>
      </c>
      <c r="E196" s="334">
        <f t="shared" si="36"/>
        <v>0</v>
      </c>
      <c r="F196" s="123">
        <f t="shared" si="34"/>
        <v>0</v>
      </c>
      <c r="G196" s="103">
        <f>G187*_1!E$20</f>
        <v>0</v>
      </c>
      <c r="H196" s="103">
        <f>H187*_1!F$20</f>
        <v>0</v>
      </c>
      <c r="I196" s="123">
        <f t="shared" si="35"/>
        <v>0</v>
      </c>
      <c r="J196" s="103">
        <f>J187*_1!H$20</f>
        <v>0</v>
      </c>
      <c r="K196" s="119">
        <f>K187*_1!I$20</f>
        <v>0</v>
      </c>
      <c r="L196"/>
      <c r="P196" s="124">
        <f t="shared" si="37"/>
        <v>0</v>
      </c>
      <c r="Q196" s="125"/>
      <c r="R196" s="125"/>
    </row>
    <row r="197" spans="1:18" s="103" customFormat="1" ht="15" customHeight="1" x14ac:dyDescent="0.45">
      <c r="A197" s="410"/>
      <c r="B197" s="407"/>
      <c r="C197" s="407"/>
      <c r="D197" s="1" t="s">
        <v>120</v>
      </c>
      <c r="E197" s="334">
        <f t="shared" si="36"/>
        <v>0</v>
      </c>
      <c r="F197" s="123">
        <f t="shared" si="34"/>
        <v>0</v>
      </c>
      <c r="G197" s="103">
        <f>ROUND(G196*_1!$E$14*_1!$E$14,1)</f>
        <v>0</v>
      </c>
      <c r="H197" s="103">
        <f>ROUND(H196*_1!$F$14*_1!$F$14,1)</f>
        <v>0</v>
      </c>
      <c r="I197" s="123">
        <f t="shared" si="35"/>
        <v>0</v>
      </c>
      <c r="J197" s="103">
        <f>ROUND(J196*_1!$H$14*_1!$H$14,1)</f>
        <v>0</v>
      </c>
      <c r="K197" s="119">
        <f>ROUND(K196*_1!$I$14*_1!$I$14,1)</f>
        <v>0</v>
      </c>
      <c r="L197"/>
      <c r="P197" s="124">
        <f t="shared" si="37"/>
        <v>0</v>
      </c>
      <c r="Q197" s="125"/>
      <c r="R197" s="125"/>
    </row>
    <row r="198" spans="1:18" s="103" customFormat="1" ht="15" customHeight="1" x14ac:dyDescent="0.45">
      <c r="A198" s="136"/>
      <c r="B198" s="406" t="s">
        <v>239</v>
      </c>
      <c r="C198" s="407"/>
      <c r="D198" s="1" t="s">
        <v>162</v>
      </c>
      <c r="E198" s="123">
        <f>E190+E192+E194+E196</f>
        <v>0</v>
      </c>
      <c r="F198" s="123"/>
      <c r="I198" s="123"/>
      <c r="K198" s="119"/>
      <c r="L198"/>
      <c r="P198" s="124">
        <f t="shared" si="37"/>
        <v>0</v>
      </c>
      <c r="Q198" s="125"/>
      <c r="R198" s="125"/>
    </row>
    <row r="199" spans="1:18" s="103" customFormat="1" ht="15" customHeight="1" x14ac:dyDescent="0.45">
      <c r="A199" s="145"/>
      <c r="B199" s="408"/>
      <c r="C199" s="408"/>
      <c r="D199" s="313" t="s">
        <v>120</v>
      </c>
      <c r="E199" s="144">
        <f>E191+E193+E195+E197</f>
        <v>0</v>
      </c>
      <c r="F199" s="144"/>
      <c r="G199" s="140"/>
      <c r="H199" s="140"/>
      <c r="I199" s="144"/>
      <c r="J199" s="140"/>
      <c r="K199" s="142"/>
      <c r="L199"/>
      <c r="P199" s="124">
        <f t="shared" si="37"/>
        <v>0</v>
      </c>
      <c r="Q199" s="125"/>
      <c r="R199" s="125"/>
    </row>
    <row r="200" spans="1:18" s="103" customFormat="1" ht="15" customHeight="1" x14ac:dyDescent="0.45">
      <c r="A200" s="148" t="s">
        <v>202</v>
      </c>
      <c r="B200" s="130" t="s">
        <v>236</v>
      </c>
      <c r="C200" s="126"/>
      <c r="D200" s="280"/>
      <c r="E200" s="143">
        <f>IF(E201+E203&gt;0,1,0)</f>
        <v>0</v>
      </c>
      <c r="F200" s="127"/>
      <c r="G200" s="128"/>
      <c r="H200" s="128"/>
      <c r="I200" s="123"/>
      <c r="J200" s="128"/>
      <c r="K200" s="129"/>
      <c r="L200"/>
      <c r="P200" s="124">
        <f t="shared" si="37"/>
        <v>0</v>
      </c>
      <c r="Q200" s="125"/>
      <c r="R200" s="125"/>
    </row>
    <row r="201" spans="1:18" s="103" customFormat="1" ht="15" customHeight="1" x14ac:dyDescent="0.45">
      <c r="A201" s="121"/>
      <c r="C201" s="199" t="s">
        <v>195</v>
      </c>
      <c r="D201" s="1" t="s">
        <v>153</v>
      </c>
      <c r="E201" s="334">
        <f>SUMIF(F$7:L$7,"всего",F201:L201)</f>
        <v>0</v>
      </c>
      <c r="F201" s="123">
        <f>SUM(G201:H201)</f>
        <v>0</v>
      </c>
      <c r="G201" s="126">
        <f>IF($B200=_1!E$15,_1!E$16,0)</f>
        <v>0</v>
      </c>
      <c r="H201" s="126">
        <f>IF($B200=_1!F$15,_1!F$16,0)</f>
        <v>0</v>
      </c>
      <c r="I201" s="123">
        <f>SUM(J201:K201)</f>
        <v>0</v>
      </c>
      <c r="J201" s="126">
        <f>IF($B200=_1!H$15,_1!H$16,0)</f>
        <v>0</v>
      </c>
      <c r="K201" s="348">
        <f>IF($B200=_1!I$15,_1!I$16,0)</f>
        <v>0</v>
      </c>
      <c r="L201"/>
      <c r="P201" s="124">
        <f t="shared" si="37"/>
        <v>0</v>
      </c>
      <c r="Q201" s="125"/>
      <c r="R201" s="125"/>
    </row>
    <row r="202" spans="1:18" s="103" customFormat="1" ht="15" customHeight="1" x14ac:dyDescent="0.45">
      <c r="A202" s="121"/>
      <c r="C202" s="199" t="s">
        <v>222</v>
      </c>
      <c r="D202" s="1" t="s">
        <v>120</v>
      </c>
      <c r="E202" s="334">
        <f>SUMIF(F$7:L$7,"всего",F202:L202)</f>
        <v>0</v>
      </c>
      <c r="F202" s="123">
        <f>SUM(G202:H202)</f>
        <v>0</v>
      </c>
      <c r="G202" s="103">
        <f>G201*VLOOKUP($B200,'вес заб'!$A$1:$B$16,2,FALSE)</f>
        <v>0</v>
      </c>
      <c r="H202" s="103">
        <f>H201*VLOOKUP($B200,'вес заб'!$A$1:$B$16,2,FALSE)</f>
        <v>0</v>
      </c>
      <c r="I202" s="123">
        <f>SUM(J202:K202)</f>
        <v>0</v>
      </c>
      <c r="J202" s="103">
        <f>J201*VLOOKUP($B200,'вес заб'!$A$1:$B$16,2,FALSE)</f>
        <v>0</v>
      </c>
      <c r="K202" s="119">
        <f>K201*VLOOKUP($B200,'вес заб'!$A$1:$B$16,2,FALSE)</f>
        <v>0</v>
      </c>
      <c r="L202"/>
      <c r="P202" s="124">
        <f t="shared" si="37"/>
        <v>0</v>
      </c>
      <c r="Q202" s="125"/>
      <c r="R202" s="125"/>
    </row>
    <row r="203" spans="1:18" s="103" customFormat="1" ht="15" customHeight="1" x14ac:dyDescent="0.45">
      <c r="A203" s="123"/>
      <c r="C203" s="199" t="s">
        <v>196</v>
      </c>
      <c r="D203" s="1" t="s">
        <v>153</v>
      </c>
      <c r="E203" s="334">
        <f>SUMIF(F$7:L$7,"всего",F203:L203)</f>
        <v>0</v>
      </c>
      <c r="F203" s="123">
        <f>SUM(G203:H203)</f>
        <v>0</v>
      </c>
      <c r="G203" s="103">
        <f>IF($B200=_1!E$15,_1!E$17,0)</f>
        <v>0</v>
      </c>
      <c r="H203" s="103">
        <f>IF($B200=_1!F$15,_1!F$17,0)</f>
        <v>0</v>
      </c>
      <c r="I203" s="123">
        <f>SUM(J203:K203)</f>
        <v>0</v>
      </c>
      <c r="J203" s="103">
        <f>IF($B200=_1!H$15,_1!H$17,0)</f>
        <v>0</v>
      </c>
      <c r="K203" s="119">
        <f>IF($B200=_1!I$15,_1!I$17,0)</f>
        <v>0</v>
      </c>
      <c r="L203"/>
      <c r="P203" s="124">
        <f t="shared" si="37"/>
        <v>0</v>
      </c>
      <c r="Q203" s="125"/>
      <c r="R203" s="125"/>
    </row>
    <row r="204" spans="1:18" s="103" customFormat="1" ht="15" customHeight="1" x14ac:dyDescent="0.45">
      <c r="A204" s="123"/>
      <c r="C204" s="199" t="s">
        <v>222</v>
      </c>
      <c r="D204" s="1" t="s">
        <v>120</v>
      </c>
      <c r="E204" s="334">
        <f>SUMIF(F$7:L$7,"всего",F204:L204)</f>
        <v>0</v>
      </c>
      <c r="F204" s="123">
        <f>SUM(G204:H204)</f>
        <v>0</v>
      </c>
      <c r="G204" s="103">
        <f>G203*VLOOKUP($B200,'вес заб'!$A$1:$B$16,2,FALSE)</f>
        <v>0</v>
      </c>
      <c r="H204" s="103">
        <f>H203*VLOOKUP($B200,'вес заб'!$A$1:$B$16,2,FALSE)</f>
        <v>0</v>
      </c>
      <c r="I204" s="123">
        <f>SUM(J204:K204)</f>
        <v>0</v>
      </c>
      <c r="J204" s="103">
        <f>J203*VLOOKUP($B200,'вес заб'!$A$1:$B$16,2,FALSE)</f>
        <v>0</v>
      </c>
      <c r="K204" s="119">
        <f>K203*VLOOKUP($B200,'вес заб'!$A$1:$B$16,2,FALSE)</f>
        <v>0</v>
      </c>
      <c r="L204"/>
      <c r="P204" s="124">
        <f t="shared" si="37"/>
        <v>0</v>
      </c>
      <c r="Q204" s="125"/>
      <c r="R204" s="125"/>
    </row>
    <row r="205" spans="1:18" s="103" customFormat="1" ht="15" customHeight="1" x14ac:dyDescent="0.45">
      <c r="A205" s="121" t="s">
        <v>242</v>
      </c>
      <c r="D205" s="199"/>
      <c r="E205" s="141">
        <f>IF((OR(E206&lt;&gt;0,E208&lt;&gt;0,E210&lt;&gt;0,E212&lt;&gt;0,)),1,0)</f>
        <v>0</v>
      </c>
      <c r="F205" s="127"/>
      <c r="G205" s="128"/>
      <c r="H205" s="128"/>
      <c r="I205" s="123"/>
      <c r="J205" s="128"/>
      <c r="K205" s="129"/>
      <c r="L205"/>
      <c r="P205" s="124">
        <f t="shared" si="37"/>
        <v>0</v>
      </c>
      <c r="Q205" s="125"/>
      <c r="R205" s="125"/>
    </row>
    <row r="206" spans="1:18" s="103" customFormat="1" ht="15" customHeight="1" x14ac:dyDescent="0.45">
      <c r="A206" s="409" t="s">
        <v>240</v>
      </c>
      <c r="B206" s="407" t="s">
        <v>195</v>
      </c>
      <c r="C206" s="407"/>
      <c r="D206" s="1" t="s">
        <v>162</v>
      </c>
      <c r="E206" s="334">
        <f>SUMIF(F$7:L$7,"всего",F206:L206)</f>
        <v>0</v>
      </c>
      <c r="F206" s="123">
        <f t="shared" ref="F206:F213" si="38">SUM(G206:H206)</f>
        <v>0</v>
      </c>
      <c r="G206" s="103">
        <f>G201*_1!E$19</f>
        <v>0</v>
      </c>
      <c r="H206" s="103">
        <f>H201*_1!F$19</f>
        <v>0</v>
      </c>
      <c r="I206" s="123">
        <f t="shared" ref="I206:I213" si="39">SUM(J206:K206)</f>
        <v>0</v>
      </c>
      <c r="J206" s="103">
        <f>J201*_1!H$19</f>
        <v>0</v>
      </c>
      <c r="K206" s="119">
        <f>K201*_1!I$19</f>
        <v>0</v>
      </c>
      <c r="L206"/>
      <c r="P206" s="124">
        <f t="shared" si="37"/>
        <v>0</v>
      </c>
      <c r="Q206" s="125"/>
      <c r="R206" s="125"/>
    </row>
    <row r="207" spans="1:18" s="103" customFormat="1" ht="15" customHeight="1" x14ac:dyDescent="0.45">
      <c r="A207" s="410"/>
      <c r="B207" s="407"/>
      <c r="C207" s="407"/>
      <c r="D207" s="1" t="s">
        <v>120</v>
      </c>
      <c r="E207" s="334">
        <f t="shared" ref="E207:E213" si="40">SUMIF(F$7:L$7,"всего",F207:L207)</f>
        <v>0</v>
      </c>
      <c r="F207" s="123">
        <f t="shared" si="38"/>
        <v>0</v>
      </c>
      <c r="G207" s="103">
        <f>ROUND(G206*_1!$E$14*_1!$E$14,1)</f>
        <v>0</v>
      </c>
      <c r="H207" s="103">
        <f>ROUND(H206*_1!$F$14*_1!$F$14,1)</f>
        <v>0</v>
      </c>
      <c r="I207" s="123">
        <f t="shared" si="39"/>
        <v>0</v>
      </c>
      <c r="J207" s="103">
        <f>ROUND(J206*_1!$H$14*_1!$H$14,1)</f>
        <v>0</v>
      </c>
      <c r="K207" s="119">
        <f>ROUND(K206*_1!$I$14*_1!$I$14,1)</f>
        <v>0</v>
      </c>
      <c r="L207"/>
      <c r="P207" s="124">
        <f t="shared" si="37"/>
        <v>0</v>
      </c>
      <c r="Q207" s="125"/>
      <c r="R207" s="125"/>
    </row>
    <row r="208" spans="1:18" s="103" customFormat="1" ht="15" customHeight="1" x14ac:dyDescent="0.45">
      <c r="A208" s="410"/>
      <c r="B208" s="407" t="s">
        <v>196</v>
      </c>
      <c r="C208" s="407"/>
      <c r="D208" s="1" t="s">
        <v>162</v>
      </c>
      <c r="E208" s="334">
        <f t="shared" si="40"/>
        <v>0</v>
      </c>
      <c r="F208" s="123">
        <f t="shared" si="38"/>
        <v>0</v>
      </c>
      <c r="G208" s="103">
        <f>G203*_1!E$19</f>
        <v>0</v>
      </c>
      <c r="H208" s="103">
        <f>H203*_1!F$19</f>
        <v>0</v>
      </c>
      <c r="I208" s="123">
        <f t="shared" si="39"/>
        <v>0</v>
      </c>
      <c r="J208" s="103">
        <f>J203*_1!H$19</f>
        <v>0</v>
      </c>
      <c r="K208" s="119">
        <f>K203*_1!I$19</f>
        <v>0</v>
      </c>
      <c r="L208"/>
      <c r="P208" s="124">
        <f t="shared" si="37"/>
        <v>0</v>
      </c>
      <c r="Q208" s="125"/>
      <c r="R208" s="125"/>
    </row>
    <row r="209" spans="1:18" s="103" customFormat="1" ht="15" customHeight="1" x14ac:dyDescent="0.45">
      <c r="A209" s="410"/>
      <c r="B209" s="407"/>
      <c r="C209" s="407"/>
      <c r="D209" s="1" t="s">
        <v>120</v>
      </c>
      <c r="E209" s="334">
        <f t="shared" si="40"/>
        <v>0</v>
      </c>
      <c r="F209" s="123">
        <f t="shared" si="38"/>
        <v>0</v>
      </c>
      <c r="G209" s="103">
        <f>ROUND(G208*_1!$E$14*_1!$E$14,1)</f>
        <v>0</v>
      </c>
      <c r="H209" s="103">
        <f>ROUND(H208*_1!$F$14*_1!$F$14,1)</f>
        <v>0</v>
      </c>
      <c r="I209" s="123">
        <f t="shared" si="39"/>
        <v>0</v>
      </c>
      <c r="J209" s="103">
        <f>ROUND(J208*_1!$H$14*_1!$H$14,1)</f>
        <v>0</v>
      </c>
      <c r="K209" s="119">
        <f>ROUND(K208*_1!$I$14*_1!$I$14,1)</f>
        <v>0</v>
      </c>
      <c r="L209"/>
      <c r="P209" s="124">
        <f t="shared" si="37"/>
        <v>0</v>
      </c>
      <c r="Q209" s="125"/>
      <c r="R209" s="125"/>
    </row>
    <row r="210" spans="1:18" s="103" customFormat="1" ht="15" customHeight="1" x14ac:dyDescent="0.45">
      <c r="A210" s="409" t="s">
        <v>241</v>
      </c>
      <c r="B210" s="407" t="s">
        <v>195</v>
      </c>
      <c r="C210" s="407"/>
      <c r="D210" s="1" t="s">
        <v>162</v>
      </c>
      <c r="E210" s="334">
        <f t="shared" si="40"/>
        <v>0</v>
      </c>
      <c r="F210" s="123">
        <f t="shared" si="38"/>
        <v>0</v>
      </c>
      <c r="G210" s="103">
        <f>G201*_1!E$20</f>
        <v>0</v>
      </c>
      <c r="H210" s="103">
        <f>H201*_1!F$20</f>
        <v>0</v>
      </c>
      <c r="I210" s="123">
        <f t="shared" si="39"/>
        <v>0</v>
      </c>
      <c r="J210" s="103">
        <f>J201*_1!H$20</f>
        <v>0</v>
      </c>
      <c r="K210" s="119">
        <f>K201*_1!I$20</f>
        <v>0</v>
      </c>
      <c r="L210"/>
      <c r="P210" s="124">
        <f t="shared" si="37"/>
        <v>0</v>
      </c>
      <c r="Q210" s="125"/>
      <c r="R210" s="125"/>
    </row>
    <row r="211" spans="1:18" s="103" customFormat="1" ht="15" customHeight="1" x14ac:dyDescent="0.45">
      <c r="A211" s="410"/>
      <c r="B211" s="407"/>
      <c r="C211" s="407"/>
      <c r="D211" s="1" t="s">
        <v>120</v>
      </c>
      <c r="E211" s="334">
        <f t="shared" si="40"/>
        <v>0</v>
      </c>
      <c r="F211" s="123">
        <f t="shared" si="38"/>
        <v>0</v>
      </c>
      <c r="G211" s="103">
        <f>ROUND(G210*_1!$E$14*_1!$E$14,1)</f>
        <v>0</v>
      </c>
      <c r="H211" s="103">
        <f>ROUND(H210*_1!$F$14*_1!$F$14,1)</f>
        <v>0</v>
      </c>
      <c r="I211" s="123">
        <f t="shared" si="39"/>
        <v>0</v>
      </c>
      <c r="J211" s="103">
        <f>ROUND(J210*_1!$H$14*_1!$H$14,1)</f>
        <v>0</v>
      </c>
      <c r="K211" s="119">
        <f>ROUND(K210*_1!$I$14*_1!$I$14,1)</f>
        <v>0</v>
      </c>
      <c r="L211"/>
      <c r="P211" s="124">
        <f t="shared" si="37"/>
        <v>0</v>
      </c>
      <c r="Q211" s="125"/>
      <c r="R211" s="125"/>
    </row>
    <row r="212" spans="1:18" s="103" customFormat="1" ht="15" customHeight="1" x14ac:dyDescent="0.45">
      <c r="A212" s="410"/>
      <c r="B212" s="407" t="s">
        <v>196</v>
      </c>
      <c r="C212" s="407"/>
      <c r="D212" s="1" t="s">
        <v>162</v>
      </c>
      <c r="E212" s="334">
        <f t="shared" si="40"/>
        <v>0</v>
      </c>
      <c r="F212" s="123">
        <f t="shared" si="38"/>
        <v>0</v>
      </c>
      <c r="G212" s="103">
        <f>G203*_1!E$20</f>
        <v>0</v>
      </c>
      <c r="H212" s="103">
        <f>H203*_1!F$20</f>
        <v>0</v>
      </c>
      <c r="I212" s="123">
        <f t="shared" si="39"/>
        <v>0</v>
      </c>
      <c r="J212" s="103">
        <f>J203*_1!H$20</f>
        <v>0</v>
      </c>
      <c r="K212" s="119">
        <f>K203*_1!I$20</f>
        <v>0</v>
      </c>
      <c r="L212"/>
      <c r="P212" s="124">
        <f t="shared" si="37"/>
        <v>0</v>
      </c>
      <c r="Q212" s="125"/>
      <c r="R212" s="125"/>
    </row>
    <row r="213" spans="1:18" s="103" customFormat="1" ht="15" customHeight="1" x14ac:dyDescent="0.45">
      <c r="A213" s="410"/>
      <c r="B213" s="407"/>
      <c r="C213" s="407"/>
      <c r="D213" s="1" t="s">
        <v>120</v>
      </c>
      <c r="E213" s="334">
        <f t="shared" si="40"/>
        <v>0</v>
      </c>
      <c r="F213" s="123">
        <f t="shared" si="38"/>
        <v>0</v>
      </c>
      <c r="G213" s="103">
        <f>ROUND(G212*_1!$E$14*_1!$E$14,1)</f>
        <v>0</v>
      </c>
      <c r="H213" s="103">
        <f>ROUND(H212*_1!$F$14*_1!$F$14,1)</f>
        <v>0</v>
      </c>
      <c r="I213" s="123">
        <f t="shared" si="39"/>
        <v>0</v>
      </c>
      <c r="J213" s="103">
        <f>ROUND(J212*_1!$H$14*_1!$H$14,1)</f>
        <v>0</v>
      </c>
      <c r="K213" s="119">
        <f>ROUND(K212*_1!$I$14*_1!$I$14,1)</f>
        <v>0</v>
      </c>
      <c r="L213"/>
      <c r="P213" s="124">
        <f t="shared" si="37"/>
        <v>0</v>
      </c>
      <c r="Q213" s="125"/>
      <c r="R213" s="125"/>
    </row>
    <row r="214" spans="1:18" s="103" customFormat="1" ht="15" customHeight="1" x14ac:dyDescent="0.45">
      <c r="A214" s="136"/>
      <c r="B214" s="406" t="s">
        <v>239</v>
      </c>
      <c r="C214" s="407"/>
      <c r="D214" s="1" t="s">
        <v>162</v>
      </c>
      <c r="E214" s="123">
        <f>E206+E208+E210+E212</f>
        <v>0</v>
      </c>
      <c r="F214" s="123"/>
      <c r="I214" s="123"/>
      <c r="K214" s="119"/>
      <c r="L214"/>
      <c r="P214" s="124">
        <f t="shared" si="37"/>
        <v>0</v>
      </c>
      <c r="Q214" s="125"/>
      <c r="R214" s="125"/>
    </row>
    <row r="215" spans="1:18" s="103" customFormat="1" ht="15" customHeight="1" x14ac:dyDescent="0.45">
      <c r="A215" s="145"/>
      <c r="B215" s="408"/>
      <c r="C215" s="408"/>
      <c r="D215" s="313" t="s">
        <v>120</v>
      </c>
      <c r="E215" s="144">
        <f>E207+E209+E211+E213</f>
        <v>0</v>
      </c>
      <c r="F215" s="144"/>
      <c r="G215" s="140"/>
      <c r="H215" s="140"/>
      <c r="I215" s="144"/>
      <c r="J215" s="140"/>
      <c r="K215" s="142"/>
      <c r="L215"/>
      <c r="P215" s="124">
        <f t="shared" si="37"/>
        <v>0</v>
      </c>
      <c r="Q215" s="125"/>
      <c r="R215" s="125"/>
    </row>
    <row r="216" spans="1:18" s="103" customFormat="1" ht="15" customHeight="1" x14ac:dyDescent="0.45">
      <c r="A216" s="148" t="s">
        <v>202</v>
      </c>
      <c r="B216" s="130" t="s">
        <v>237</v>
      </c>
      <c r="C216" s="126"/>
      <c r="D216" s="280"/>
      <c r="E216" s="143">
        <f>IF(E217+E219&gt;0,1,0)</f>
        <v>0</v>
      </c>
      <c r="F216" s="127"/>
      <c r="G216" s="128"/>
      <c r="H216" s="128"/>
      <c r="I216" s="123"/>
      <c r="J216" s="128"/>
      <c r="K216" s="129"/>
      <c r="L216"/>
      <c r="P216" s="124">
        <f t="shared" si="37"/>
        <v>0</v>
      </c>
      <c r="Q216" s="125"/>
      <c r="R216" s="125"/>
    </row>
    <row r="217" spans="1:18" s="103" customFormat="1" ht="15" customHeight="1" x14ac:dyDescent="0.45">
      <c r="A217" s="121"/>
      <c r="C217" s="199" t="s">
        <v>195</v>
      </c>
      <c r="D217" s="1" t="s">
        <v>153</v>
      </c>
      <c r="E217" s="334">
        <f>SUMIF(F$7:L$7,"всего",F217:L217)</f>
        <v>0</v>
      </c>
      <c r="F217" s="123">
        <f>SUM(G217:H217)</f>
        <v>0</v>
      </c>
      <c r="G217" s="126">
        <f>IF($B216=_1!E$15,_1!E$16,0)</f>
        <v>0</v>
      </c>
      <c r="H217" s="126">
        <f>IF($B216=_1!F$15,_1!F$16,0)</f>
        <v>0</v>
      </c>
      <c r="I217" s="123">
        <f>SUM(J217:K217)</f>
        <v>0</v>
      </c>
      <c r="J217" s="126">
        <f>IF($B216=_1!H$15,_1!H$16,0)</f>
        <v>0</v>
      </c>
      <c r="K217" s="348">
        <f>IF($B216=_1!I$15,_1!I$16,0)</f>
        <v>0</v>
      </c>
      <c r="L217"/>
      <c r="P217" s="124">
        <f t="shared" si="37"/>
        <v>0</v>
      </c>
      <c r="Q217" s="125"/>
      <c r="R217" s="125"/>
    </row>
    <row r="218" spans="1:18" s="103" customFormat="1" ht="15" customHeight="1" x14ac:dyDescent="0.45">
      <c r="A218" s="121"/>
      <c r="C218" s="199" t="s">
        <v>222</v>
      </c>
      <c r="D218" s="1" t="s">
        <v>120</v>
      </c>
      <c r="E218" s="334">
        <f>SUMIF(F$7:L$7,"всего",F218:L218)</f>
        <v>0</v>
      </c>
      <c r="F218" s="123">
        <f>SUM(G218:H218)</f>
        <v>0</v>
      </c>
      <c r="G218" s="103">
        <f>G217*VLOOKUP($B216,'вес заб'!$A$1:$B$16,2,FALSE)</f>
        <v>0</v>
      </c>
      <c r="H218" s="103">
        <f>H217*VLOOKUP($B216,'вес заб'!$A$1:$B$16,2,FALSE)</f>
        <v>0</v>
      </c>
      <c r="I218" s="123">
        <f>SUM(J218:K218)</f>
        <v>0</v>
      </c>
      <c r="J218" s="103">
        <f>J217*VLOOKUP($B216,'вес заб'!$A$1:$B$16,2,FALSE)</f>
        <v>0</v>
      </c>
      <c r="K218" s="119">
        <f>K217*VLOOKUP($B216,'вес заб'!$A$1:$B$16,2,FALSE)</f>
        <v>0</v>
      </c>
      <c r="L218"/>
      <c r="P218" s="124">
        <f t="shared" si="37"/>
        <v>0</v>
      </c>
      <c r="Q218" s="125"/>
      <c r="R218" s="125"/>
    </row>
    <row r="219" spans="1:18" s="103" customFormat="1" ht="15" customHeight="1" x14ac:dyDescent="0.45">
      <c r="A219" s="123"/>
      <c r="C219" s="199" t="s">
        <v>196</v>
      </c>
      <c r="D219" s="1" t="s">
        <v>153</v>
      </c>
      <c r="E219" s="334">
        <f>SUMIF(F$7:L$7,"всего",F219:L219)</f>
        <v>0</v>
      </c>
      <c r="F219" s="123">
        <f>SUM(G219:H219)</f>
        <v>0</v>
      </c>
      <c r="G219" s="103">
        <f>IF($B216=_1!E$15,_1!E$17,0)</f>
        <v>0</v>
      </c>
      <c r="H219" s="103">
        <f>IF($B216=_1!F$15,_1!F$17,0)</f>
        <v>0</v>
      </c>
      <c r="I219" s="123">
        <f>SUM(J219:K219)</f>
        <v>0</v>
      </c>
      <c r="J219" s="103">
        <f>IF($B216=_1!H$15,_1!H$17,0)</f>
        <v>0</v>
      </c>
      <c r="K219" s="119">
        <f>IF($B216=_1!I$15,_1!I$17,0)</f>
        <v>0</v>
      </c>
      <c r="L219"/>
      <c r="P219" s="124">
        <f t="shared" si="37"/>
        <v>0</v>
      </c>
      <c r="Q219" s="125"/>
      <c r="R219" s="125"/>
    </row>
    <row r="220" spans="1:18" s="103" customFormat="1" ht="15" customHeight="1" x14ac:dyDescent="0.45">
      <c r="A220" s="123"/>
      <c r="C220" s="199" t="s">
        <v>222</v>
      </c>
      <c r="D220" s="1" t="s">
        <v>120</v>
      </c>
      <c r="E220" s="334">
        <f>SUMIF(F$7:L$7,"всего",F220:L220)</f>
        <v>0</v>
      </c>
      <c r="F220" s="123">
        <f>SUM(G220:H220)</f>
        <v>0</v>
      </c>
      <c r="G220" s="103">
        <f>G219*VLOOKUP($B216,'вес заб'!$A$1:$B$16,2,FALSE)</f>
        <v>0</v>
      </c>
      <c r="H220" s="103">
        <f>H219*VLOOKUP($B216,'вес заб'!$A$1:$B$16,2,FALSE)</f>
        <v>0</v>
      </c>
      <c r="I220" s="123">
        <f>SUM(J220:K220)</f>
        <v>0</v>
      </c>
      <c r="J220" s="103">
        <f>J219*VLOOKUP($B216,'вес заб'!$A$1:$B$16,2,FALSE)</f>
        <v>0</v>
      </c>
      <c r="K220" s="119">
        <f>K219*VLOOKUP($B216,'вес заб'!$A$1:$B$16,2,FALSE)</f>
        <v>0</v>
      </c>
      <c r="L220"/>
      <c r="P220" s="124">
        <f t="shared" si="37"/>
        <v>0</v>
      </c>
      <c r="Q220" s="125"/>
      <c r="R220" s="125"/>
    </row>
    <row r="221" spans="1:18" s="103" customFormat="1" ht="15" customHeight="1" x14ac:dyDescent="0.45">
      <c r="A221" s="121" t="s">
        <v>242</v>
      </c>
      <c r="D221" s="199"/>
      <c r="E221" s="141">
        <f>IF((OR(E222&lt;&gt;0,E224&lt;&gt;0,E226&lt;&gt;0,E228&lt;&gt;0,)),1,0)</f>
        <v>0</v>
      </c>
      <c r="F221" s="127"/>
      <c r="G221" s="128"/>
      <c r="H221" s="128"/>
      <c r="I221" s="123"/>
      <c r="J221" s="128"/>
      <c r="K221" s="129"/>
      <c r="L221"/>
      <c r="P221" s="124">
        <f t="shared" si="37"/>
        <v>0</v>
      </c>
      <c r="Q221" s="125"/>
      <c r="R221" s="125"/>
    </row>
    <row r="222" spans="1:18" s="103" customFormat="1" ht="15" customHeight="1" x14ac:dyDescent="0.45">
      <c r="A222" s="409" t="s">
        <v>240</v>
      </c>
      <c r="B222" s="407" t="s">
        <v>195</v>
      </c>
      <c r="C222" s="407"/>
      <c r="D222" s="1" t="s">
        <v>162</v>
      </c>
      <c r="E222" s="334">
        <f>SUMIF(F$7:L$7,"всего",F222:L222)</f>
        <v>0</v>
      </c>
      <c r="F222" s="123">
        <f t="shared" ref="F222:F229" si="41">SUM(G222:H222)</f>
        <v>0</v>
      </c>
      <c r="G222" s="103">
        <f>G217*_1!E$19</f>
        <v>0</v>
      </c>
      <c r="H222" s="103">
        <f>H217*_1!F$19</f>
        <v>0</v>
      </c>
      <c r="I222" s="123">
        <f t="shared" ref="I222:I229" si="42">SUM(J222:K222)</f>
        <v>0</v>
      </c>
      <c r="J222" s="103">
        <f>J217*_1!H$19</f>
        <v>0</v>
      </c>
      <c r="K222" s="119">
        <f>K217*_1!I$19</f>
        <v>0</v>
      </c>
      <c r="L222"/>
      <c r="P222" s="124">
        <f t="shared" si="37"/>
        <v>0</v>
      </c>
      <c r="Q222" s="125"/>
      <c r="R222" s="125"/>
    </row>
    <row r="223" spans="1:18" s="103" customFormat="1" ht="15" customHeight="1" x14ac:dyDescent="0.45">
      <c r="A223" s="410"/>
      <c r="B223" s="407"/>
      <c r="C223" s="407"/>
      <c r="D223" s="1" t="s">
        <v>120</v>
      </c>
      <c r="E223" s="334">
        <f t="shared" ref="E223:E229" si="43">SUMIF(F$7:L$7,"всего",F223:L223)</f>
        <v>0</v>
      </c>
      <c r="F223" s="123">
        <f t="shared" si="41"/>
        <v>0</v>
      </c>
      <c r="G223" s="103">
        <f>ROUND(G222*_1!$E$14*_1!$E$14,1)</f>
        <v>0</v>
      </c>
      <c r="H223" s="103">
        <f>ROUND(H222*_1!$F$14*_1!$F$14,1)</f>
        <v>0</v>
      </c>
      <c r="I223" s="123">
        <f t="shared" si="42"/>
        <v>0</v>
      </c>
      <c r="J223" s="103">
        <f>ROUND(J222*_1!$H$14*_1!$H$14,1)</f>
        <v>0</v>
      </c>
      <c r="K223" s="119">
        <f>ROUND(K222*_1!$I$14*_1!$I$14,1)</f>
        <v>0</v>
      </c>
      <c r="L223"/>
      <c r="P223" s="124">
        <f t="shared" si="37"/>
        <v>0</v>
      </c>
      <c r="Q223" s="125"/>
      <c r="R223" s="125"/>
    </row>
    <row r="224" spans="1:18" s="103" customFormat="1" ht="15" customHeight="1" x14ac:dyDescent="0.45">
      <c r="A224" s="410"/>
      <c r="B224" s="407" t="s">
        <v>196</v>
      </c>
      <c r="C224" s="407"/>
      <c r="D224" s="1" t="s">
        <v>162</v>
      </c>
      <c r="E224" s="334">
        <f t="shared" si="43"/>
        <v>0</v>
      </c>
      <c r="F224" s="123">
        <f t="shared" si="41"/>
        <v>0</v>
      </c>
      <c r="G224" s="103">
        <f>G219*_1!E$19</f>
        <v>0</v>
      </c>
      <c r="H224" s="103">
        <f>H219*_1!F$19</f>
        <v>0</v>
      </c>
      <c r="I224" s="123">
        <f t="shared" si="42"/>
        <v>0</v>
      </c>
      <c r="J224" s="103">
        <f>J219*_1!H$19</f>
        <v>0</v>
      </c>
      <c r="K224" s="119">
        <f>K219*_1!I$19</f>
        <v>0</v>
      </c>
      <c r="L224"/>
      <c r="P224" s="124">
        <f t="shared" si="37"/>
        <v>0</v>
      </c>
      <c r="Q224" s="125"/>
      <c r="R224" s="125"/>
    </row>
    <row r="225" spans="1:18" s="103" customFormat="1" ht="15" customHeight="1" x14ac:dyDescent="0.45">
      <c r="A225" s="410"/>
      <c r="B225" s="407"/>
      <c r="C225" s="407"/>
      <c r="D225" s="1" t="s">
        <v>120</v>
      </c>
      <c r="E225" s="334">
        <f t="shared" si="43"/>
        <v>0</v>
      </c>
      <c r="F225" s="123">
        <f t="shared" si="41"/>
        <v>0</v>
      </c>
      <c r="G225" s="103">
        <f>ROUND(G224*_1!$E$14*_1!$E$14,1)</f>
        <v>0</v>
      </c>
      <c r="H225" s="103">
        <f>ROUND(H224*_1!$F$14*_1!$F$14,1)</f>
        <v>0</v>
      </c>
      <c r="I225" s="123">
        <f t="shared" si="42"/>
        <v>0</v>
      </c>
      <c r="J225" s="103">
        <f>ROUND(J224*_1!$H$14*_1!$H$14,1)</f>
        <v>0</v>
      </c>
      <c r="K225" s="119">
        <f>ROUND(K224*_1!$I$14*_1!$I$14,1)</f>
        <v>0</v>
      </c>
      <c r="L225"/>
      <c r="P225" s="124">
        <f t="shared" si="37"/>
        <v>0</v>
      </c>
      <c r="Q225" s="125"/>
      <c r="R225" s="125"/>
    </row>
    <row r="226" spans="1:18" s="103" customFormat="1" ht="15" customHeight="1" x14ac:dyDescent="0.45">
      <c r="A226" s="409" t="s">
        <v>241</v>
      </c>
      <c r="B226" s="407" t="s">
        <v>195</v>
      </c>
      <c r="C226" s="407"/>
      <c r="D226" s="1" t="s">
        <v>162</v>
      </c>
      <c r="E226" s="334">
        <f t="shared" si="43"/>
        <v>0</v>
      </c>
      <c r="F226" s="123">
        <f t="shared" si="41"/>
        <v>0</v>
      </c>
      <c r="G226" s="103">
        <f>G217*_1!E$20</f>
        <v>0</v>
      </c>
      <c r="H226" s="103">
        <f>H217*_1!F$20</f>
        <v>0</v>
      </c>
      <c r="I226" s="123">
        <f t="shared" si="42"/>
        <v>0</v>
      </c>
      <c r="J226" s="103">
        <f>J217*_1!H$20</f>
        <v>0</v>
      </c>
      <c r="K226" s="119">
        <f>K217*_1!I$20</f>
        <v>0</v>
      </c>
      <c r="L226"/>
      <c r="P226" s="124">
        <f t="shared" si="37"/>
        <v>0</v>
      </c>
      <c r="Q226" s="125"/>
      <c r="R226" s="125"/>
    </row>
    <row r="227" spans="1:18" s="103" customFormat="1" ht="15" customHeight="1" x14ac:dyDescent="0.45">
      <c r="A227" s="410"/>
      <c r="B227" s="407"/>
      <c r="C227" s="407"/>
      <c r="D227" s="1" t="s">
        <v>120</v>
      </c>
      <c r="E227" s="334">
        <f t="shared" si="43"/>
        <v>0</v>
      </c>
      <c r="F227" s="123">
        <f t="shared" si="41"/>
        <v>0</v>
      </c>
      <c r="G227" s="103">
        <f>ROUND(G226*_1!$E$14*_1!$E$14,1)</f>
        <v>0</v>
      </c>
      <c r="H227" s="103">
        <f>ROUND(H226*_1!$F$14*_1!$F$14,1)</f>
        <v>0</v>
      </c>
      <c r="I227" s="123">
        <f t="shared" si="42"/>
        <v>0</v>
      </c>
      <c r="J227" s="103">
        <f>ROUND(J226*_1!$H$14*_1!$H$14,1)</f>
        <v>0</v>
      </c>
      <c r="K227" s="119">
        <f>ROUND(K226*_1!$I$14*_1!$I$14,1)</f>
        <v>0</v>
      </c>
      <c r="L227"/>
      <c r="P227" s="124">
        <f t="shared" si="37"/>
        <v>0</v>
      </c>
      <c r="Q227" s="125"/>
      <c r="R227" s="125"/>
    </row>
    <row r="228" spans="1:18" s="103" customFormat="1" ht="15" customHeight="1" x14ac:dyDescent="0.45">
      <c r="A228" s="410"/>
      <c r="B228" s="407" t="s">
        <v>196</v>
      </c>
      <c r="C228" s="407"/>
      <c r="D228" s="1" t="s">
        <v>162</v>
      </c>
      <c r="E228" s="334">
        <f t="shared" si="43"/>
        <v>0</v>
      </c>
      <c r="F228" s="123">
        <f t="shared" si="41"/>
        <v>0</v>
      </c>
      <c r="G228" s="103">
        <f>G219*_1!E$20</f>
        <v>0</v>
      </c>
      <c r="H228" s="103">
        <f>H219*_1!F$20</f>
        <v>0</v>
      </c>
      <c r="I228" s="123">
        <f t="shared" si="42"/>
        <v>0</v>
      </c>
      <c r="J228" s="103">
        <f>J219*_1!H$20</f>
        <v>0</v>
      </c>
      <c r="K228" s="119">
        <f>K219*_1!I$20</f>
        <v>0</v>
      </c>
      <c r="L228"/>
      <c r="P228" s="124">
        <f t="shared" si="37"/>
        <v>0</v>
      </c>
      <c r="Q228" s="125"/>
      <c r="R228" s="125"/>
    </row>
    <row r="229" spans="1:18" s="103" customFormat="1" ht="15" customHeight="1" x14ac:dyDescent="0.45">
      <c r="A229" s="410"/>
      <c r="B229" s="407"/>
      <c r="C229" s="407"/>
      <c r="D229" s="1" t="s">
        <v>120</v>
      </c>
      <c r="E229" s="334">
        <f t="shared" si="43"/>
        <v>0</v>
      </c>
      <c r="F229" s="123">
        <f t="shared" si="41"/>
        <v>0</v>
      </c>
      <c r="G229" s="103">
        <f>ROUND(G228*_1!$E$14*_1!$E$14,1)</f>
        <v>0</v>
      </c>
      <c r="H229" s="103">
        <f>ROUND(H228*_1!$F$14*_1!$F$14,1)</f>
        <v>0</v>
      </c>
      <c r="I229" s="123">
        <f t="shared" si="42"/>
        <v>0</v>
      </c>
      <c r="J229" s="103">
        <f>ROUND(J228*_1!$H$14*_1!$H$14,1)</f>
        <v>0</v>
      </c>
      <c r="K229" s="119">
        <f>ROUND(K228*_1!$I$14*_1!$I$14,1)</f>
        <v>0</v>
      </c>
      <c r="L229"/>
      <c r="P229" s="124">
        <f t="shared" si="37"/>
        <v>0</v>
      </c>
      <c r="Q229" s="125"/>
      <c r="R229" s="125"/>
    </row>
    <row r="230" spans="1:18" s="103" customFormat="1" ht="15" customHeight="1" x14ac:dyDescent="0.45">
      <c r="A230" s="136"/>
      <c r="B230" s="406" t="s">
        <v>239</v>
      </c>
      <c r="C230" s="407"/>
      <c r="D230" s="1" t="s">
        <v>162</v>
      </c>
      <c r="E230" s="123">
        <f>E222+E224+E226+E228</f>
        <v>0</v>
      </c>
      <c r="F230" s="123"/>
      <c r="I230" s="123"/>
      <c r="K230" s="119"/>
      <c r="L230"/>
      <c r="P230" s="124">
        <f t="shared" si="37"/>
        <v>0</v>
      </c>
      <c r="Q230" s="125"/>
      <c r="R230" s="125"/>
    </row>
    <row r="231" spans="1:18" s="103" customFormat="1" ht="15" customHeight="1" x14ac:dyDescent="0.45">
      <c r="A231" s="145"/>
      <c r="B231" s="408"/>
      <c r="C231" s="408"/>
      <c r="D231" s="313" t="s">
        <v>120</v>
      </c>
      <c r="E231" s="144">
        <f>E223+E225+E227+E229</f>
        <v>0</v>
      </c>
      <c r="F231" s="144"/>
      <c r="G231" s="140"/>
      <c r="H231" s="140"/>
      <c r="I231" s="144"/>
      <c r="J231" s="140"/>
      <c r="K231" s="142"/>
      <c r="L231"/>
      <c r="P231" s="124">
        <f t="shared" si="37"/>
        <v>0</v>
      </c>
      <c r="Q231" s="125"/>
      <c r="R231" s="125"/>
    </row>
    <row r="232" spans="1:18" s="103" customFormat="1" ht="15" customHeight="1" x14ac:dyDescent="0.45">
      <c r="A232" s="148" t="s">
        <v>202</v>
      </c>
      <c r="B232" s="130" t="s">
        <v>238</v>
      </c>
      <c r="C232" s="126"/>
      <c r="D232" s="280"/>
      <c r="E232" s="143">
        <f>IF(E233+E235&gt;0,1,0)</f>
        <v>0</v>
      </c>
      <c r="F232" s="127"/>
      <c r="G232" s="128"/>
      <c r="H232" s="128"/>
      <c r="I232" s="123"/>
      <c r="J232" s="128"/>
      <c r="K232" s="129"/>
      <c r="L232"/>
      <c r="P232" s="124">
        <f t="shared" si="37"/>
        <v>0</v>
      </c>
      <c r="Q232" s="125"/>
      <c r="R232" s="125"/>
    </row>
    <row r="233" spans="1:18" s="103" customFormat="1" ht="15" customHeight="1" x14ac:dyDescent="0.45">
      <c r="A233" s="121"/>
      <c r="C233" s="199" t="s">
        <v>195</v>
      </c>
      <c r="D233" s="1" t="s">
        <v>153</v>
      </c>
      <c r="E233" s="334">
        <f>SUMIF(F$7:L$7,"всего",F233:L233)</f>
        <v>0</v>
      </c>
      <c r="F233" s="123">
        <f>SUM(G233:H233)</f>
        <v>0</v>
      </c>
      <c r="G233" s="126">
        <f>IF($B232=_1!E$15,_1!E$16,0)</f>
        <v>0</v>
      </c>
      <c r="H233" s="126">
        <f>IF($B232=_1!F$15,_1!F$16,0)</f>
        <v>0</v>
      </c>
      <c r="I233" s="123">
        <f>SUM(J233:K233)</f>
        <v>0</v>
      </c>
      <c r="J233" s="126">
        <f>IF($B232=_1!H$15,_1!H$16,0)</f>
        <v>0</v>
      </c>
      <c r="K233" s="348">
        <f>IF($B232=_1!I$15,_1!I$16,0)</f>
        <v>0</v>
      </c>
      <c r="L233"/>
      <c r="P233" s="124">
        <f t="shared" si="37"/>
        <v>0</v>
      </c>
      <c r="Q233" s="125"/>
      <c r="R233" s="125"/>
    </row>
    <row r="234" spans="1:18" s="103" customFormat="1" ht="15" customHeight="1" x14ac:dyDescent="0.45">
      <c r="A234" s="121"/>
      <c r="C234" s="199" t="s">
        <v>222</v>
      </c>
      <c r="D234" s="1" t="s">
        <v>120</v>
      </c>
      <c r="E234" s="334">
        <f>SUMIF(F$7:L$7,"всего",F234:L234)</f>
        <v>0</v>
      </c>
      <c r="F234" s="123">
        <f>SUM(G234:H234)</f>
        <v>0</v>
      </c>
      <c r="G234" s="103">
        <f>G233*VLOOKUP($B232,'вес заб'!$A$1:$B$16,2,FALSE)</f>
        <v>0</v>
      </c>
      <c r="H234" s="103">
        <f>H233*VLOOKUP($B232,'вес заб'!$A$1:$B$16,2,FALSE)</f>
        <v>0</v>
      </c>
      <c r="I234" s="123">
        <f>SUM(J234:K234)</f>
        <v>0</v>
      </c>
      <c r="J234" s="103">
        <f>J233*VLOOKUP($B232,'вес заб'!$A$1:$B$16,2,FALSE)</f>
        <v>0</v>
      </c>
      <c r="K234" s="119">
        <f>K233*VLOOKUP($B232,'вес заб'!$A$1:$B$16,2,FALSE)</f>
        <v>0</v>
      </c>
      <c r="L234"/>
      <c r="P234" s="124">
        <f t="shared" si="37"/>
        <v>0</v>
      </c>
      <c r="Q234" s="125"/>
      <c r="R234" s="125"/>
    </row>
    <row r="235" spans="1:18" s="103" customFormat="1" ht="15" customHeight="1" x14ac:dyDescent="0.45">
      <c r="A235" s="123"/>
      <c r="C235" s="199" t="s">
        <v>196</v>
      </c>
      <c r="D235" s="1" t="s">
        <v>153</v>
      </c>
      <c r="E235" s="334">
        <f>SUMIF(F$7:L$7,"всего",F235:L235)</f>
        <v>0</v>
      </c>
      <c r="F235" s="123">
        <f>SUM(G235:H235)</f>
        <v>0</v>
      </c>
      <c r="G235" s="103">
        <f>IF($B232=_1!E$15,_1!E$17,0)</f>
        <v>0</v>
      </c>
      <c r="H235" s="103">
        <f>IF($B232=_1!F$15,_1!F$17,0)</f>
        <v>0</v>
      </c>
      <c r="I235" s="123">
        <f>SUM(J235:K235)</f>
        <v>0</v>
      </c>
      <c r="J235" s="103">
        <f>IF($B232=_1!H$15,_1!H$17,0)</f>
        <v>0</v>
      </c>
      <c r="K235" s="119">
        <f>IF($B232=_1!I$15,_1!I$17,0)</f>
        <v>0</v>
      </c>
      <c r="L235"/>
      <c r="P235" s="124">
        <f t="shared" si="37"/>
        <v>0</v>
      </c>
      <c r="Q235" s="125"/>
      <c r="R235" s="125"/>
    </row>
    <row r="236" spans="1:18" s="103" customFormat="1" ht="15" customHeight="1" x14ac:dyDescent="0.45">
      <c r="A236" s="123"/>
      <c r="C236" s="199" t="s">
        <v>222</v>
      </c>
      <c r="D236" s="1" t="s">
        <v>120</v>
      </c>
      <c r="E236" s="334">
        <f>SUMIF(F$7:L$7,"всего",F236:L236)</f>
        <v>0</v>
      </c>
      <c r="F236" s="123">
        <f>SUM(G236:H236)</f>
        <v>0</v>
      </c>
      <c r="G236" s="103">
        <f>G235*VLOOKUP($B232,'вес заб'!$A$1:$B$16,2,FALSE)</f>
        <v>0</v>
      </c>
      <c r="H236" s="103">
        <f>H235*VLOOKUP($B232,'вес заб'!$A$1:$B$16,2,FALSE)</f>
        <v>0</v>
      </c>
      <c r="I236" s="123">
        <f>SUM(J236:K236)</f>
        <v>0</v>
      </c>
      <c r="J236" s="103">
        <f>J235*VLOOKUP($B232,'вес заб'!$A$1:$B$16,2,FALSE)</f>
        <v>0</v>
      </c>
      <c r="K236" s="119">
        <f>K235*VLOOKUP($B232,'вес заб'!$A$1:$B$16,2,FALSE)</f>
        <v>0</v>
      </c>
      <c r="L236"/>
      <c r="P236" s="124">
        <f t="shared" si="37"/>
        <v>0</v>
      </c>
      <c r="Q236" s="125"/>
      <c r="R236" s="125"/>
    </row>
    <row r="237" spans="1:18" x14ac:dyDescent="0.45">
      <c r="A237" s="121" t="s">
        <v>242</v>
      </c>
      <c r="B237" s="103"/>
      <c r="C237" s="103"/>
      <c r="D237" s="199"/>
      <c r="E237" s="141">
        <f>IF((OR(E238&lt;&gt;0,E240&lt;&gt;0,E242&lt;&gt;0,E244&lt;&gt;0,)),1,0)</f>
        <v>0</v>
      </c>
      <c r="F237" s="127"/>
      <c r="G237" s="103"/>
      <c r="H237" s="103"/>
      <c r="I237" s="127"/>
      <c r="J237" s="103"/>
      <c r="K237" s="119"/>
      <c r="P237" s="124">
        <f t="shared" si="37"/>
        <v>0</v>
      </c>
    </row>
    <row r="238" spans="1:18" x14ac:dyDescent="0.45">
      <c r="A238" s="409" t="s">
        <v>240</v>
      </c>
      <c r="B238" s="407" t="s">
        <v>195</v>
      </c>
      <c r="C238" s="407"/>
      <c r="D238" s="1" t="s">
        <v>162</v>
      </c>
      <c r="E238" s="334">
        <f>SUMIF(F$7:L$7,"всего",F238:L238)</f>
        <v>0</v>
      </c>
      <c r="F238" s="123">
        <f t="shared" ref="F238:F245" si="44">SUM(G238:H238)</f>
        <v>0</v>
      </c>
      <c r="G238" s="103">
        <f>G233*_1!E$19</f>
        <v>0</v>
      </c>
      <c r="H238" s="103">
        <f>H233*_1!F$19</f>
        <v>0</v>
      </c>
      <c r="I238" s="123">
        <f t="shared" ref="I238:I245" si="45">SUM(J238:K238)</f>
        <v>0</v>
      </c>
      <c r="J238" s="103">
        <f>J233*_1!H$19</f>
        <v>0</v>
      </c>
      <c r="K238" s="119">
        <f>K233*_1!I$19</f>
        <v>0</v>
      </c>
      <c r="P238" s="124">
        <f t="shared" si="37"/>
        <v>0</v>
      </c>
    </row>
    <row r="239" spans="1:18" x14ac:dyDescent="0.45">
      <c r="A239" s="410"/>
      <c r="B239" s="407"/>
      <c r="C239" s="407"/>
      <c r="D239" s="1" t="s">
        <v>120</v>
      </c>
      <c r="E239" s="334">
        <f t="shared" ref="E239:E245" si="46">SUMIF(F$7:L$7,"всего",F239:L239)</f>
        <v>0</v>
      </c>
      <c r="F239" s="123">
        <f t="shared" si="44"/>
        <v>0</v>
      </c>
      <c r="G239" s="103">
        <f>ROUND(G238*_1!$E$14*_1!$E$14,1)</f>
        <v>0</v>
      </c>
      <c r="H239" s="103">
        <f>ROUND(H238*_1!$F$14*_1!$F$14,1)</f>
        <v>0</v>
      </c>
      <c r="I239" s="123">
        <f t="shared" si="45"/>
        <v>0</v>
      </c>
      <c r="J239" s="103">
        <f>ROUND(J238*_1!$H$14*_1!$H$14,1)</f>
        <v>0</v>
      </c>
      <c r="K239" s="119">
        <f>ROUND(K238*_1!$I$14*_1!$I$14,1)</f>
        <v>0</v>
      </c>
      <c r="P239" s="124">
        <f t="shared" si="37"/>
        <v>0</v>
      </c>
    </row>
    <row r="240" spans="1:18" x14ac:dyDescent="0.45">
      <c r="A240" s="410"/>
      <c r="B240" s="407" t="s">
        <v>196</v>
      </c>
      <c r="C240" s="407"/>
      <c r="D240" s="1" t="s">
        <v>162</v>
      </c>
      <c r="E240" s="334">
        <f t="shared" si="46"/>
        <v>0</v>
      </c>
      <c r="F240" s="123">
        <f t="shared" si="44"/>
        <v>0</v>
      </c>
      <c r="G240" s="103">
        <f>G235*_1!E$19</f>
        <v>0</v>
      </c>
      <c r="H240" s="103">
        <f>H235*_1!F$19</f>
        <v>0</v>
      </c>
      <c r="I240" s="123">
        <f t="shared" si="45"/>
        <v>0</v>
      </c>
      <c r="J240" s="103">
        <f>J235*_1!H$19</f>
        <v>0</v>
      </c>
      <c r="K240" s="119">
        <f>K235*_1!I$19</f>
        <v>0</v>
      </c>
      <c r="P240" s="124">
        <f t="shared" si="37"/>
        <v>0</v>
      </c>
    </row>
    <row r="241" spans="1:18" x14ac:dyDescent="0.45">
      <c r="A241" s="410"/>
      <c r="B241" s="407"/>
      <c r="C241" s="407"/>
      <c r="D241" s="1" t="s">
        <v>120</v>
      </c>
      <c r="E241" s="334">
        <f t="shared" si="46"/>
        <v>0</v>
      </c>
      <c r="F241" s="123">
        <f t="shared" si="44"/>
        <v>0</v>
      </c>
      <c r="G241" s="103">
        <f>ROUND(G240*_1!$E$14*_1!$E$14,1)</f>
        <v>0</v>
      </c>
      <c r="H241" s="103">
        <f>ROUND(H240*_1!$F$14*_1!$F$14,1)</f>
        <v>0</v>
      </c>
      <c r="I241" s="123">
        <f t="shared" si="45"/>
        <v>0</v>
      </c>
      <c r="J241" s="103">
        <f>ROUND(J240*_1!$H$14*_1!$H$14,1)</f>
        <v>0</v>
      </c>
      <c r="K241" s="119">
        <f>ROUND(K240*_1!$I$14*_1!$I$14,1)</f>
        <v>0</v>
      </c>
      <c r="P241" s="124">
        <f t="shared" si="37"/>
        <v>0</v>
      </c>
    </row>
    <row r="242" spans="1:18" x14ac:dyDescent="0.45">
      <c r="A242" s="409" t="s">
        <v>241</v>
      </c>
      <c r="B242" s="407" t="s">
        <v>195</v>
      </c>
      <c r="C242" s="407"/>
      <c r="D242" s="1" t="s">
        <v>162</v>
      </c>
      <c r="E242" s="334">
        <f t="shared" si="46"/>
        <v>0</v>
      </c>
      <c r="F242" s="123">
        <f t="shared" si="44"/>
        <v>0</v>
      </c>
      <c r="G242" s="103">
        <f>G233*_1!E$20</f>
        <v>0</v>
      </c>
      <c r="H242" s="103">
        <f>H233*_1!F$20</f>
        <v>0</v>
      </c>
      <c r="I242" s="123">
        <f t="shared" si="45"/>
        <v>0</v>
      </c>
      <c r="J242" s="103">
        <f>J233*_1!H$20</f>
        <v>0</v>
      </c>
      <c r="K242" s="119">
        <f>K233*_1!I$20</f>
        <v>0</v>
      </c>
      <c r="P242" s="124">
        <f t="shared" si="37"/>
        <v>0</v>
      </c>
    </row>
    <row r="243" spans="1:18" x14ac:dyDescent="0.45">
      <c r="A243" s="410"/>
      <c r="B243" s="407"/>
      <c r="C243" s="407"/>
      <c r="D243" s="1" t="s">
        <v>120</v>
      </c>
      <c r="E243" s="334">
        <f t="shared" si="46"/>
        <v>0</v>
      </c>
      <c r="F243" s="123">
        <f t="shared" si="44"/>
        <v>0</v>
      </c>
      <c r="G243" s="103">
        <f>ROUND(G242*_1!$E$14*_1!$E$14,1)</f>
        <v>0</v>
      </c>
      <c r="H243" s="103">
        <f>ROUND(H242*_1!$F$14*_1!$F$14,1)</f>
        <v>0</v>
      </c>
      <c r="I243" s="123">
        <f t="shared" si="45"/>
        <v>0</v>
      </c>
      <c r="J243" s="103">
        <f>ROUND(J242*_1!$H$14*_1!$H$14,1)</f>
        <v>0</v>
      </c>
      <c r="K243" s="119">
        <f>ROUND(K242*_1!$I$14*_1!$I$14,1)</f>
        <v>0</v>
      </c>
      <c r="P243" s="124">
        <f t="shared" si="37"/>
        <v>0</v>
      </c>
    </row>
    <row r="244" spans="1:18" x14ac:dyDescent="0.45">
      <c r="A244" s="410"/>
      <c r="B244" s="407" t="s">
        <v>196</v>
      </c>
      <c r="C244" s="407"/>
      <c r="D244" s="1" t="s">
        <v>162</v>
      </c>
      <c r="E244" s="334">
        <f t="shared" si="46"/>
        <v>0</v>
      </c>
      <c r="F244" s="123">
        <f t="shared" si="44"/>
        <v>0</v>
      </c>
      <c r="G244" s="103">
        <f>G235*_1!E$20</f>
        <v>0</v>
      </c>
      <c r="H244" s="103">
        <f>H235*_1!F$20</f>
        <v>0</v>
      </c>
      <c r="I244" s="123">
        <f t="shared" si="45"/>
        <v>0</v>
      </c>
      <c r="J244" s="103">
        <f>J235*_1!H$20</f>
        <v>0</v>
      </c>
      <c r="K244" s="119">
        <f>K235*_1!I$20</f>
        <v>0</v>
      </c>
      <c r="P244" s="124">
        <f t="shared" si="37"/>
        <v>0</v>
      </c>
    </row>
    <row r="245" spans="1:18" x14ac:dyDescent="0.45">
      <c r="A245" s="410"/>
      <c r="B245" s="407"/>
      <c r="C245" s="407"/>
      <c r="D245" s="1" t="s">
        <v>120</v>
      </c>
      <c r="E245" s="334">
        <f t="shared" si="46"/>
        <v>0</v>
      </c>
      <c r="F245" s="123">
        <f t="shared" si="44"/>
        <v>0</v>
      </c>
      <c r="G245" s="103">
        <f>ROUND(G244*_1!$E$14*_1!$E$14,1)</f>
        <v>0</v>
      </c>
      <c r="H245" s="103">
        <f>ROUND(H244*_1!$F$14*_1!$F$14,1)</f>
        <v>0</v>
      </c>
      <c r="I245" s="123">
        <f t="shared" si="45"/>
        <v>0</v>
      </c>
      <c r="J245" s="103">
        <f>ROUND(J244*_1!$H$14*_1!$H$14,1)</f>
        <v>0</v>
      </c>
      <c r="K245" s="119">
        <f>ROUND(K244*_1!$I$14*_1!$I$14,1)</f>
        <v>0</v>
      </c>
      <c r="P245" s="124">
        <f t="shared" si="37"/>
        <v>0</v>
      </c>
    </row>
    <row r="246" spans="1:18" x14ac:dyDescent="0.45">
      <c r="A246" s="136"/>
      <c r="B246" s="406" t="s">
        <v>239</v>
      </c>
      <c r="C246" s="407"/>
      <c r="D246" s="1" t="s">
        <v>162</v>
      </c>
      <c r="E246" s="123">
        <f>E238+E240+E242+E244</f>
        <v>0</v>
      </c>
      <c r="F246" s="123"/>
      <c r="G246" s="103"/>
      <c r="H246" s="103"/>
      <c r="I246" s="123"/>
      <c r="J246" s="103"/>
      <c r="K246" s="119"/>
      <c r="P246" s="124">
        <f t="shared" si="37"/>
        <v>0</v>
      </c>
    </row>
    <row r="247" spans="1:18" x14ac:dyDescent="0.45">
      <c r="A247" s="145"/>
      <c r="B247" s="408"/>
      <c r="C247" s="408"/>
      <c r="D247" s="313" t="s">
        <v>120</v>
      </c>
      <c r="E247" s="144">
        <f>E239+E241+E243+E245</f>
        <v>0</v>
      </c>
      <c r="F247" s="123"/>
      <c r="G247" s="103"/>
      <c r="H247" s="103"/>
      <c r="I247" s="123"/>
      <c r="J247" s="103"/>
      <c r="K247" s="119"/>
      <c r="P247" s="124">
        <f t="shared" si="37"/>
        <v>0</v>
      </c>
    </row>
    <row r="248" spans="1:18" s="103" customFormat="1" ht="15" customHeight="1" thickBot="1" x14ac:dyDescent="0.5">
      <c r="A248" s="220" t="s">
        <v>200</v>
      </c>
      <c r="B248" s="134"/>
      <c r="C248" s="134"/>
      <c r="D248" s="281"/>
      <c r="E248" s="337">
        <f>SUMIF(F$7:L$7,"всего",F248:L248)</f>
        <v>8.84</v>
      </c>
      <c r="F248" s="347">
        <f>SUM(G248:H248)</f>
        <v>4.42</v>
      </c>
      <c r="G248" s="134">
        <f>ROUND(SUMIF($D9:$D247,"шт",G9:G247)*_1!E8*_1!E14*_1!E14,2)</f>
        <v>2.21</v>
      </c>
      <c r="H248" s="134">
        <f>ROUND(SUMIF($D9:$D247,"шт",H9:H247)*_1!F8*_1!F14*_1!F14,2)</f>
        <v>2.21</v>
      </c>
      <c r="I248" s="347">
        <f>SUM(J248:K248)</f>
        <v>4.42</v>
      </c>
      <c r="J248" s="134">
        <f>ROUND(SUMIF($D9:$D247,"шт",J9:J247)*_1!H8*_1!H14*_1!H14,2)</f>
        <v>2.21</v>
      </c>
      <c r="K248" s="221">
        <f>ROUND(SUMIF($D9:$D247,"шт",K9:K247)*_1!I8*_1!I14*_1!I14,2)</f>
        <v>2.21</v>
      </c>
      <c r="L248"/>
      <c r="P248" s="124">
        <f t="shared" si="37"/>
        <v>1</v>
      </c>
      <c r="Q248" s="125"/>
      <c r="R248" s="125"/>
    </row>
    <row r="249" spans="1:18" s="103" customFormat="1" ht="15" customHeight="1" x14ac:dyDescent="0.45">
      <c r="A249" s="218" t="s">
        <v>315</v>
      </c>
      <c r="B249" s="222">
        <v>0.42599999999999999</v>
      </c>
      <c r="C249" s="15" t="s">
        <v>100</v>
      </c>
      <c r="D249" s="1" t="s">
        <v>153</v>
      </c>
      <c r="E249" s="334">
        <f>SUMIF(F$7:L$7,"всего",F249:L249)</f>
        <v>0</v>
      </c>
      <c r="F249" s="303">
        <f>SUM(G249:H249)</f>
        <v>0</v>
      </c>
      <c r="G249" s="103">
        <f>IF($B249=_1!E26,_1!E27,0)</f>
        <v>0</v>
      </c>
      <c r="H249" s="103">
        <f>IF($B249=_1!F26,_1!F27,0)</f>
        <v>0</v>
      </c>
      <c r="I249" s="304">
        <f>SUM(J249:K249)</f>
        <v>0</v>
      </c>
      <c r="J249" s="103">
        <f>IF($B249=_1!H26,_1!H27,0)</f>
        <v>0</v>
      </c>
      <c r="K249" s="139">
        <f>IF($B249=_1!I26,_1!I27,0)</f>
        <v>0</v>
      </c>
      <c r="L249"/>
      <c r="P249" s="124">
        <f t="shared" si="37"/>
        <v>0</v>
      </c>
      <c r="Q249" s="125"/>
      <c r="R249" s="125"/>
    </row>
    <row r="250" spans="1:18" s="103" customFormat="1" ht="15" customHeight="1" x14ac:dyDescent="0.45">
      <c r="A250" s="121" t="s">
        <v>316</v>
      </c>
      <c r="D250" s="1" t="s">
        <v>120</v>
      </c>
      <c r="E250" s="334">
        <f t="shared" ref="E250:E313" si="47">SUMIF(F$7:L$7,"всего",F250:L250)</f>
        <v>0</v>
      </c>
      <c r="F250" s="334">
        <f>ROUND(G$249*G250+H$249*H250,1)</f>
        <v>0</v>
      </c>
      <c r="G250" s="103">
        <f>SUM(G251:G257)</f>
        <v>2.37</v>
      </c>
      <c r="H250" s="103">
        <f>SUM(H251:H257)</f>
        <v>2.36</v>
      </c>
      <c r="I250" s="334">
        <f>ROUND(J$249*J250+K$249*K250,1)</f>
        <v>0</v>
      </c>
      <c r="J250" s="103">
        <f>SUM(J251:J257)</f>
        <v>18.88</v>
      </c>
      <c r="K250" s="119">
        <f>SUM(K251:K257)</f>
        <v>19.100000000000001</v>
      </c>
      <c r="L250"/>
      <c r="P250" s="124">
        <f t="shared" si="37"/>
        <v>0</v>
      </c>
      <c r="Q250" s="125"/>
      <c r="R250" s="125"/>
    </row>
    <row r="251" spans="1:18" s="103" customFormat="1" ht="15" customHeight="1" x14ac:dyDescent="0.45">
      <c r="A251" s="198" t="s">
        <v>240</v>
      </c>
      <c r="D251" s="1" t="s">
        <v>120</v>
      </c>
      <c r="E251" s="334">
        <f t="shared" si="47"/>
        <v>0</v>
      </c>
      <c r="F251" s="334">
        <f t="shared" ref="F251:F266" si="48">ROUND(G$249*G251+H$249*H251,1)</f>
        <v>0</v>
      </c>
      <c r="G251" s="103">
        <f>ROUND(_1!E31*_1!E$28,2)</f>
        <v>1.43</v>
      </c>
      <c r="H251" s="103">
        <f>ROUND(_1!F31*_1!F$28,2)</f>
        <v>1.31</v>
      </c>
      <c r="I251" s="334">
        <f t="shared" ref="I251:I266" si="49">ROUND(J$249*J251+K$249*K251,1)</f>
        <v>0</v>
      </c>
      <c r="J251" s="103">
        <f>ROUND(_1!H31*_1!H$28,2)</f>
        <v>9.83</v>
      </c>
      <c r="K251" s="119">
        <f>ROUND(_1!I31*_1!I$28,2)</f>
        <v>10.96</v>
      </c>
      <c r="L251"/>
      <c r="P251" s="124">
        <f t="shared" si="37"/>
        <v>0</v>
      </c>
      <c r="Q251" s="125"/>
      <c r="R251" s="125"/>
    </row>
    <row r="252" spans="1:18" s="103" customFormat="1" ht="15" customHeight="1" x14ac:dyDescent="0.45">
      <c r="A252" s="198" t="s">
        <v>317</v>
      </c>
      <c r="D252" s="1" t="s">
        <v>120</v>
      </c>
      <c r="E252" s="334">
        <f t="shared" si="47"/>
        <v>0</v>
      </c>
      <c r="F252" s="334">
        <f t="shared" si="48"/>
        <v>0</v>
      </c>
      <c r="G252" s="103">
        <f>ROUND(_1!E32*_1!E$28,2)</f>
        <v>0.2</v>
      </c>
      <c r="H252" s="103">
        <f>ROUND(_1!F32*_1!F$28,2)</f>
        <v>0.26</v>
      </c>
      <c r="I252" s="334">
        <f t="shared" si="49"/>
        <v>0</v>
      </c>
      <c r="J252" s="103">
        <f>ROUND(_1!H32*_1!H$28,2)</f>
        <v>2.4900000000000002</v>
      </c>
      <c r="K252" s="119">
        <f>ROUND(_1!I32*_1!I$28,2)</f>
        <v>1.36</v>
      </c>
      <c r="L252"/>
      <c r="P252" s="124">
        <f t="shared" si="37"/>
        <v>0</v>
      </c>
      <c r="Q252" s="125"/>
      <c r="R252" s="125"/>
    </row>
    <row r="253" spans="1:18" s="103" customFormat="1" ht="15" customHeight="1" x14ac:dyDescent="0.45">
      <c r="A253" s="198" t="s">
        <v>318</v>
      </c>
      <c r="D253" s="1" t="s">
        <v>120</v>
      </c>
      <c r="E253" s="334">
        <f t="shared" si="47"/>
        <v>0</v>
      </c>
      <c r="F253" s="334">
        <f t="shared" si="48"/>
        <v>0</v>
      </c>
      <c r="G253" s="103">
        <f>ROUND(_1!E33*_1!E$28,2)</f>
        <v>0.33</v>
      </c>
      <c r="H253" s="103">
        <f>ROUND(_1!F33*_1!F$28,2)</f>
        <v>0.41</v>
      </c>
      <c r="I253" s="334">
        <f t="shared" si="49"/>
        <v>0</v>
      </c>
      <c r="J253" s="103">
        <f>ROUND(_1!H33*_1!H$28,2)</f>
        <v>2.94</v>
      </c>
      <c r="K253" s="119">
        <f>ROUND(_1!I33*_1!I$28,2)</f>
        <v>3.05</v>
      </c>
      <c r="L253"/>
      <c r="P253" s="124">
        <f t="shared" si="37"/>
        <v>0</v>
      </c>
      <c r="Q253" s="125"/>
      <c r="R253" s="125"/>
    </row>
    <row r="254" spans="1:18" s="103" customFormat="1" ht="15" customHeight="1" x14ac:dyDescent="0.45">
      <c r="A254" s="198" t="s">
        <v>319</v>
      </c>
      <c r="D254" s="1" t="s">
        <v>120</v>
      </c>
      <c r="E254" s="334">
        <f t="shared" si="47"/>
        <v>0</v>
      </c>
      <c r="F254" s="334">
        <f t="shared" si="48"/>
        <v>0</v>
      </c>
      <c r="G254" s="103">
        <f>ROUND(_1!E34*_1!E$28,2)</f>
        <v>0</v>
      </c>
      <c r="H254" s="103">
        <f>ROUND(_1!F34*_1!F$28,2)</f>
        <v>0</v>
      </c>
      <c r="I254" s="334">
        <f t="shared" si="49"/>
        <v>0</v>
      </c>
      <c r="J254" s="103">
        <f>ROUND(_1!H34*_1!H$28,2)</f>
        <v>0</v>
      </c>
      <c r="K254" s="119">
        <f>ROUND(_1!I34*_1!I$28,2)</f>
        <v>0</v>
      </c>
      <c r="L254"/>
      <c r="P254" s="124">
        <f t="shared" si="37"/>
        <v>0</v>
      </c>
      <c r="Q254" s="125"/>
      <c r="R254" s="125"/>
    </row>
    <row r="255" spans="1:18" s="103" customFormat="1" ht="15" customHeight="1" x14ac:dyDescent="0.45">
      <c r="A255" s="198" t="s">
        <v>320</v>
      </c>
      <c r="D255" s="1" t="s">
        <v>120</v>
      </c>
      <c r="E255" s="334">
        <f t="shared" si="47"/>
        <v>0</v>
      </c>
      <c r="F255" s="334">
        <f t="shared" si="48"/>
        <v>0</v>
      </c>
      <c r="G255" s="103">
        <f>ROUND(_1!E35*_1!E$28,2)</f>
        <v>0.41</v>
      </c>
      <c r="H255" s="103">
        <f>ROUND(_1!F35*_1!F$28,2)</f>
        <v>0.38</v>
      </c>
      <c r="I255" s="334">
        <f t="shared" si="49"/>
        <v>0</v>
      </c>
      <c r="J255" s="103">
        <f>ROUND(_1!H35*_1!H$28,2)</f>
        <v>3.62</v>
      </c>
      <c r="K255" s="119">
        <f>ROUND(_1!I35*_1!I$28,2)</f>
        <v>3.73</v>
      </c>
      <c r="L255"/>
      <c r="P255" s="124">
        <f t="shared" si="37"/>
        <v>0</v>
      </c>
      <c r="Q255" s="125"/>
      <c r="R255" s="125"/>
    </row>
    <row r="256" spans="1:18" s="103" customFormat="1" ht="15" customHeight="1" x14ac:dyDescent="0.45">
      <c r="A256" s="198" t="s">
        <v>321</v>
      </c>
      <c r="D256" s="1" t="s">
        <v>120</v>
      </c>
      <c r="E256" s="334">
        <f t="shared" si="47"/>
        <v>0</v>
      </c>
      <c r="F256" s="334">
        <f t="shared" si="48"/>
        <v>0</v>
      </c>
      <c r="G256" s="103">
        <f>ROUND(_1!E36*_1!E$28,2)</f>
        <v>0</v>
      </c>
      <c r="H256" s="103">
        <f>ROUND(_1!F36*_1!F$28,2)</f>
        <v>0</v>
      </c>
      <c r="I256" s="334">
        <f t="shared" si="49"/>
        <v>0</v>
      </c>
      <c r="J256" s="103">
        <f>ROUND(_1!H36*_1!H$28,2)</f>
        <v>0</v>
      </c>
      <c r="K256" s="119">
        <f>ROUND(_1!I36*_1!I$28,2)</f>
        <v>0</v>
      </c>
      <c r="L256"/>
      <c r="P256" s="124">
        <f t="shared" si="37"/>
        <v>0</v>
      </c>
      <c r="Q256" s="125"/>
      <c r="R256" s="125"/>
    </row>
    <row r="257" spans="1:18" s="103" customFormat="1" ht="15" customHeight="1" x14ac:dyDescent="0.45">
      <c r="A257" s="198" t="s">
        <v>322</v>
      </c>
      <c r="D257" s="1" t="s">
        <v>120</v>
      </c>
      <c r="E257" s="334">
        <f t="shared" si="47"/>
        <v>0</v>
      </c>
      <c r="F257" s="334">
        <f t="shared" si="48"/>
        <v>0</v>
      </c>
      <c r="G257" s="103">
        <f>ROUND(_1!E37*_1!E$28,2)</f>
        <v>0</v>
      </c>
      <c r="H257" s="103">
        <f>ROUND(_1!F37*_1!F$28,2)</f>
        <v>0</v>
      </c>
      <c r="I257" s="334">
        <f t="shared" si="49"/>
        <v>0</v>
      </c>
      <c r="J257" s="103">
        <f>ROUND(_1!H37*_1!H$28,2)</f>
        <v>0</v>
      </c>
      <c r="K257" s="119">
        <f>ROUND(_1!I37*_1!I$28,2)</f>
        <v>0</v>
      </c>
      <c r="L257"/>
      <c r="P257" s="124">
        <f t="shared" si="37"/>
        <v>0</v>
      </c>
      <c r="Q257" s="125"/>
      <c r="R257" s="125"/>
    </row>
    <row r="258" spans="1:18" s="103" customFormat="1" ht="15" customHeight="1" x14ac:dyDescent="0.45">
      <c r="A258" s="218" t="s">
        <v>323</v>
      </c>
      <c r="D258" s="1" t="s">
        <v>120</v>
      </c>
      <c r="E258" s="334">
        <f t="shared" si="47"/>
        <v>0</v>
      </c>
      <c r="F258" s="334">
        <f t="shared" si="48"/>
        <v>0</v>
      </c>
      <c r="G258" s="309">
        <f>IF(G249&gt;0,IF((G250-G268)&lt;0,0,G250-G268),0)</f>
        <v>0</v>
      </c>
      <c r="H258" s="309">
        <f>IF(H249&gt;0,IF((H250-H268)&lt;0,0,H250-H268),0)</f>
        <v>0</v>
      </c>
      <c r="I258" s="334">
        <f t="shared" si="49"/>
        <v>0</v>
      </c>
      <c r="J258" s="309">
        <f>IF(J249&gt;0,IF((J250-J268)&lt;0,0,J250-J268),0)</f>
        <v>0</v>
      </c>
      <c r="K258" s="310">
        <f>IF(K249&gt;0,IF((K250-K268)&lt;0,0,K250-K268),0)</f>
        <v>0</v>
      </c>
      <c r="L258"/>
      <c r="P258" s="124">
        <f t="shared" si="37"/>
        <v>0</v>
      </c>
      <c r="Q258" s="125"/>
      <c r="R258" s="125"/>
    </row>
    <row r="259" spans="1:18" s="103" customFormat="1" ht="15" customHeight="1" x14ac:dyDescent="0.45">
      <c r="A259" s="198" t="s">
        <v>240</v>
      </c>
      <c r="D259" s="1" t="s">
        <v>120</v>
      </c>
      <c r="E259" s="334">
        <f t="shared" ca="1" si="47"/>
        <v>0</v>
      </c>
      <c r="F259" s="334">
        <f t="shared" si="48"/>
        <v>0</v>
      </c>
      <c r="G259" s="103">
        <f>ROUND(_1!E39*_1!E$28,2)</f>
        <v>0.57999999999999996</v>
      </c>
      <c r="H259" s="103">
        <f>ROUND(_1!F39*_1!F$28,2)</f>
        <v>0.23</v>
      </c>
      <c r="I259" s="334">
        <f t="shared" ca="1" si="49"/>
        <v>0</v>
      </c>
      <c r="J259" s="103">
        <f ca="1">ROUND(_1!H39*_1!H$28,2)</f>
        <v>0</v>
      </c>
      <c r="K259" s="119">
        <f ca="1">ROUND(_1!I39*_1!I$28,2)</f>
        <v>1.01</v>
      </c>
      <c r="L259"/>
      <c r="P259" s="124">
        <f t="shared" ca="1" si="37"/>
        <v>0</v>
      </c>
      <c r="Q259" s="125"/>
      <c r="R259" s="125"/>
    </row>
    <row r="260" spans="1:18" s="103" customFormat="1" ht="15" customHeight="1" x14ac:dyDescent="0.45">
      <c r="A260" s="198" t="s">
        <v>317</v>
      </c>
      <c r="D260" s="1" t="s">
        <v>120</v>
      </c>
      <c r="E260" s="334">
        <f t="shared" ca="1" si="47"/>
        <v>0</v>
      </c>
      <c r="F260" s="334">
        <f t="shared" si="48"/>
        <v>0</v>
      </c>
      <c r="G260" s="103">
        <f>ROUND(_1!E40*_1!E$28,2)</f>
        <v>7.0000000000000007E-2</v>
      </c>
      <c r="H260" s="103">
        <f>ROUND(_1!F40*_1!F$28,2)</f>
        <v>0</v>
      </c>
      <c r="I260" s="334">
        <f t="shared" ca="1" si="49"/>
        <v>0</v>
      </c>
      <c r="J260" s="103">
        <f ca="1">ROUND(_1!H40*_1!H$28,2)</f>
        <v>0</v>
      </c>
      <c r="K260" s="119">
        <f ca="1">ROUND(_1!I40*_1!I$28,2)</f>
        <v>0</v>
      </c>
      <c r="L260"/>
      <c r="P260" s="124">
        <f t="shared" ca="1" si="37"/>
        <v>0</v>
      </c>
      <c r="Q260" s="125"/>
      <c r="R260" s="125"/>
    </row>
    <row r="261" spans="1:18" s="103" customFormat="1" ht="15" customHeight="1" x14ac:dyDescent="0.45">
      <c r="A261" s="198" t="s">
        <v>318</v>
      </c>
      <c r="D261" s="1" t="s">
        <v>120</v>
      </c>
      <c r="E261" s="334">
        <f t="shared" ca="1" si="47"/>
        <v>0</v>
      </c>
      <c r="F261" s="334">
        <f t="shared" si="48"/>
        <v>0</v>
      </c>
      <c r="G261" s="103">
        <f>ROUND(_1!E41*_1!E$28,2)</f>
        <v>0</v>
      </c>
      <c r="H261" s="103">
        <f>ROUND(_1!F41*_1!F$28,2)</f>
        <v>0</v>
      </c>
      <c r="I261" s="334">
        <f t="shared" ca="1" si="49"/>
        <v>0</v>
      </c>
      <c r="J261" s="103">
        <f ca="1">ROUND(_1!H41*_1!H$28,2)</f>
        <v>0</v>
      </c>
      <c r="K261" s="119">
        <f ca="1">ROUND(_1!I41*_1!I$28,2)</f>
        <v>0</v>
      </c>
      <c r="L261"/>
      <c r="P261" s="124">
        <f t="shared" ca="1" si="37"/>
        <v>0</v>
      </c>
      <c r="Q261" s="125"/>
      <c r="R261" s="125"/>
    </row>
    <row r="262" spans="1:18" s="103" customFormat="1" ht="15" customHeight="1" x14ac:dyDescent="0.45">
      <c r="A262" s="198" t="s">
        <v>319</v>
      </c>
      <c r="D262" s="1" t="s">
        <v>120</v>
      </c>
      <c r="E262" s="334">
        <f t="shared" ca="1" si="47"/>
        <v>0</v>
      </c>
      <c r="F262" s="334">
        <f t="shared" si="48"/>
        <v>0</v>
      </c>
      <c r="G262" s="103">
        <f>ROUND(_1!E42*_1!E$28,2)</f>
        <v>0</v>
      </c>
      <c r="H262" s="103">
        <f>ROUND(_1!F42*_1!F$28,2)</f>
        <v>0</v>
      </c>
      <c r="I262" s="334">
        <f t="shared" ca="1" si="49"/>
        <v>0</v>
      </c>
      <c r="J262" s="103">
        <f ca="1">ROUND(_1!H42*_1!H$28,2)</f>
        <v>0</v>
      </c>
      <c r="K262" s="119">
        <f ca="1">ROUND(_1!I42*_1!I$28,2)</f>
        <v>0</v>
      </c>
      <c r="L262"/>
      <c r="P262" s="124">
        <f t="shared" ca="1" si="37"/>
        <v>0</v>
      </c>
      <c r="Q262" s="125"/>
      <c r="R262" s="125"/>
    </row>
    <row r="263" spans="1:18" s="103" customFormat="1" ht="15" customHeight="1" x14ac:dyDescent="0.45">
      <c r="A263" s="198" t="s">
        <v>320</v>
      </c>
      <c r="D263" s="1" t="s">
        <v>120</v>
      </c>
      <c r="E263" s="334">
        <f t="shared" ca="1" si="47"/>
        <v>0</v>
      </c>
      <c r="F263" s="334">
        <f t="shared" si="48"/>
        <v>0</v>
      </c>
      <c r="G263" s="103">
        <f>ROUND(_1!E43*_1!E$28,2)</f>
        <v>0</v>
      </c>
      <c r="H263" s="103">
        <f>ROUND(_1!F43*_1!F$28,2)</f>
        <v>0</v>
      </c>
      <c r="I263" s="334">
        <f t="shared" ca="1" si="49"/>
        <v>0</v>
      </c>
      <c r="J263" s="103">
        <f ca="1">ROUND(_1!H43*_1!H$28,2)</f>
        <v>0</v>
      </c>
      <c r="K263" s="119">
        <f ca="1">ROUND(_1!I43*_1!I$28,2)</f>
        <v>0</v>
      </c>
      <c r="L263"/>
      <c r="P263" s="124">
        <f t="shared" ca="1" si="37"/>
        <v>0</v>
      </c>
      <c r="Q263" s="125"/>
      <c r="R263" s="125"/>
    </row>
    <row r="264" spans="1:18" s="103" customFormat="1" ht="15" customHeight="1" x14ac:dyDescent="0.45">
      <c r="A264" s="198" t="s">
        <v>321</v>
      </c>
      <c r="D264" s="1" t="s">
        <v>120</v>
      </c>
      <c r="E264" s="334">
        <f t="shared" ca="1" si="47"/>
        <v>0</v>
      </c>
      <c r="F264" s="334">
        <f t="shared" si="48"/>
        <v>0</v>
      </c>
      <c r="G264" s="103">
        <f>ROUND(_1!E44*_1!E$28,2)</f>
        <v>0</v>
      </c>
      <c r="H264" s="103">
        <f>ROUND(_1!F44*_1!F$28,2)</f>
        <v>0</v>
      </c>
      <c r="I264" s="334">
        <f t="shared" ca="1" si="49"/>
        <v>0</v>
      </c>
      <c r="J264" s="103">
        <f ca="1">ROUND(_1!H44*_1!H$28,2)</f>
        <v>0</v>
      </c>
      <c r="K264" s="119">
        <f ca="1">ROUND(_1!I44*_1!I$28,2)</f>
        <v>0</v>
      </c>
      <c r="L264"/>
      <c r="P264" s="124">
        <f t="shared" ca="1" si="37"/>
        <v>0</v>
      </c>
      <c r="Q264" s="125"/>
      <c r="R264" s="125"/>
    </row>
    <row r="265" spans="1:18" s="103" customFormat="1" ht="15" customHeight="1" x14ac:dyDescent="0.45">
      <c r="A265" s="198" t="s">
        <v>322</v>
      </c>
      <c r="D265" s="1" t="s">
        <v>120</v>
      </c>
      <c r="E265" s="334">
        <f t="shared" ca="1" si="47"/>
        <v>0</v>
      </c>
      <c r="F265" s="334">
        <f t="shared" si="48"/>
        <v>0</v>
      </c>
      <c r="G265" s="103">
        <f>ROUND(_1!E45*_1!E$28,2)</f>
        <v>0</v>
      </c>
      <c r="H265" s="103">
        <f>ROUND(_1!F45*_1!F$28,2)</f>
        <v>0</v>
      </c>
      <c r="I265" s="334">
        <f t="shared" ca="1" si="49"/>
        <v>0</v>
      </c>
      <c r="J265" s="103">
        <f ca="1">ROUND(_1!H45*_1!H$28,2)</f>
        <v>0</v>
      </c>
      <c r="K265" s="119">
        <f ca="1">ROUND(_1!I45*_1!I$28,2)</f>
        <v>0</v>
      </c>
      <c r="L265"/>
      <c r="P265" s="124">
        <f t="shared" ca="1" si="37"/>
        <v>0</v>
      </c>
      <c r="Q265" s="125"/>
      <c r="R265" s="125"/>
    </row>
    <row r="266" spans="1:18" s="103" customFormat="1" ht="15" customHeight="1" x14ac:dyDescent="0.45">
      <c r="A266" s="212" t="s">
        <v>332</v>
      </c>
      <c r="D266" s="1" t="s">
        <v>120</v>
      </c>
      <c r="E266" s="334">
        <f t="shared" si="47"/>
        <v>0</v>
      </c>
      <c r="F266" s="334">
        <f t="shared" si="48"/>
        <v>0</v>
      </c>
      <c r="G266" s="128">
        <f>G258</f>
        <v>0</v>
      </c>
      <c r="H266" s="128">
        <f>H258</f>
        <v>0</v>
      </c>
      <c r="I266" s="334">
        <f t="shared" si="49"/>
        <v>0</v>
      </c>
      <c r="J266" s="211">
        <f>J258</f>
        <v>0</v>
      </c>
      <c r="K266" s="219">
        <f>K258</f>
        <v>0</v>
      </c>
      <c r="L266"/>
      <c r="P266" s="124">
        <f t="shared" si="37"/>
        <v>0</v>
      </c>
      <c r="Q266" s="125"/>
      <c r="R266" s="125"/>
    </row>
    <row r="267" spans="1:18" s="103" customFormat="1" ht="15" customHeight="1" x14ac:dyDescent="0.45">
      <c r="A267" s="121" t="s">
        <v>324</v>
      </c>
      <c r="B267" s="277">
        <f>B249</f>
        <v>0.42599999999999999</v>
      </c>
      <c r="C267" s="15" t="s">
        <v>100</v>
      </c>
      <c r="D267" s="1" t="s">
        <v>153</v>
      </c>
      <c r="E267" s="334">
        <f t="shared" si="47"/>
        <v>0</v>
      </c>
      <c r="F267" s="123">
        <f>SUM(G267:H267)</f>
        <v>0</v>
      </c>
      <c r="G267" s="103">
        <f>G249</f>
        <v>0</v>
      </c>
      <c r="H267" s="103">
        <f>H249</f>
        <v>0</v>
      </c>
      <c r="I267" s="123">
        <f>SUM(J267:K267)</f>
        <v>0</v>
      </c>
      <c r="J267" s="103">
        <f>J249</f>
        <v>0</v>
      </c>
      <c r="K267" s="119">
        <f>K249</f>
        <v>0</v>
      </c>
      <c r="L267"/>
      <c r="P267" s="124">
        <f t="shared" si="37"/>
        <v>0</v>
      </c>
      <c r="Q267" s="125"/>
      <c r="R267" s="125"/>
    </row>
    <row r="268" spans="1:18" s="103" customFormat="1" ht="15" customHeight="1" x14ac:dyDescent="0.45">
      <c r="A268" s="121" t="s">
        <v>325</v>
      </c>
      <c r="D268" s="1" t="s">
        <v>120</v>
      </c>
      <c r="E268" s="334">
        <f t="shared" si="47"/>
        <v>0</v>
      </c>
      <c r="F268" s="334">
        <f>ROUND(G$267*G268+H$267*H268,1)</f>
        <v>0</v>
      </c>
      <c r="G268" s="103">
        <f>IF($B249=_1!E26,_1!E29,0)</f>
        <v>1.71</v>
      </c>
      <c r="H268" s="103">
        <f>IF($B249=_1!F26,_1!F29,0)</f>
        <v>2.14</v>
      </c>
      <c r="I268" s="334">
        <f>ROUND(J$267*J268+K$267*K268,1)</f>
        <v>0</v>
      </c>
      <c r="J268" s="103">
        <f>IF($B249=_1!H26,_1!H29,0)</f>
        <v>0</v>
      </c>
      <c r="K268" s="119">
        <f>IF($B249=_1!I26,_1!I29,0)</f>
        <v>0</v>
      </c>
      <c r="L268"/>
      <c r="P268" s="124">
        <f t="shared" si="37"/>
        <v>0</v>
      </c>
      <c r="Q268" s="125"/>
      <c r="R268" s="125"/>
    </row>
    <row r="269" spans="1:18" s="103" customFormat="1" ht="15" customHeight="1" x14ac:dyDescent="0.45">
      <c r="A269" s="401" t="s">
        <v>240</v>
      </c>
      <c r="B269" s="213" t="str">
        <f>грунты!B$2</f>
        <v>песок рыхлый</v>
      </c>
      <c r="D269" s="1" t="s">
        <v>120</v>
      </c>
      <c r="E269" s="334">
        <f t="shared" si="47"/>
        <v>0</v>
      </c>
      <c r="F269" s="334">
        <f>ROUND(G$267*G269+H$267*H269,1)</f>
        <v>0</v>
      </c>
      <c r="G269" s="103">
        <f>ROUND((SUMIF(скв!B$4:B$12,$B269,скв!I$4:I$12))*_1!E$28,2)</f>
        <v>0.27</v>
      </c>
      <c r="H269" s="103">
        <f>ROUND((SUMIF(скв!K$4:K$12,$B269,скв!R$4:R$12))*_1!F$28,2)</f>
        <v>0.66</v>
      </c>
      <c r="I269" s="334">
        <f>ROUND(J$267*J269+K$267*K269,1)</f>
        <v>0</v>
      </c>
      <c r="J269" s="103">
        <f>ROUND((SUMIF(скв!T$4:T$12,$B269,скв!AA$4:AA$12))*_1!H$28,2)</f>
        <v>4.97</v>
      </c>
      <c r="K269" s="119">
        <f>ROUND((SUMIF(скв!AC$4:AC$12,$B269,скв!AJ$4:AJ$12))*_1!I$28,2)</f>
        <v>9.9499999999999993</v>
      </c>
      <c r="L269"/>
      <c r="P269" s="124">
        <f t="shared" si="37"/>
        <v>0</v>
      </c>
      <c r="Q269" s="125"/>
      <c r="R269" s="125"/>
    </row>
    <row r="270" spans="1:18" s="103" customFormat="1" ht="15" customHeight="1" x14ac:dyDescent="0.45">
      <c r="A270" s="401"/>
      <c r="B270" s="213" t="str">
        <f>грунты!B$3</f>
        <v>песок другой</v>
      </c>
      <c r="D270" s="1" t="s">
        <v>120</v>
      </c>
      <c r="E270" s="334">
        <f t="shared" si="47"/>
        <v>0</v>
      </c>
      <c r="F270" s="334">
        <f t="shared" ref="F270:F314" si="50">ROUND(G$267*G270+H$267*H270,1)</f>
        <v>0</v>
      </c>
      <c r="G270" s="103">
        <f>ROUND((SUMIF(скв!B$4:B$12,$B270,скв!I$4:I$12))*_1!E$28,2)</f>
        <v>0.56999999999999995</v>
      </c>
      <c r="H270" s="103">
        <f>ROUND((SUMIF(скв!K$4:K$12,$B270,скв!R$4:R$12))*_1!F$28,2)</f>
        <v>0.43</v>
      </c>
      <c r="I270" s="334">
        <f t="shared" ref="I270:I314" si="51">ROUND(J$267*J270+K$267*K270,1)</f>
        <v>0</v>
      </c>
      <c r="J270" s="103">
        <f>ROUND((SUMIF(скв!T$4:T$12,$B270,скв!AA$4:AA$12))*_1!H$28,2)</f>
        <v>4.8600000000000003</v>
      </c>
      <c r="K270" s="119">
        <f>ROUND((SUMIF(скв!AC$4:AC$12,$B270,скв!AJ$4:AJ$12))*_1!I$28,2)</f>
        <v>0</v>
      </c>
      <c r="L270"/>
      <c r="P270" s="124">
        <f t="shared" si="37"/>
        <v>0</v>
      </c>
      <c r="Q270" s="125"/>
      <c r="R270" s="125"/>
    </row>
    <row r="271" spans="1:18" s="103" customFormat="1" ht="15" customHeight="1" x14ac:dyDescent="0.45">
      <c r="A271" s="401"/>
      <c r="B271" s="213" t="str">
        <f>грунты!B$4</f>
        <v>песок пылеватый водонасыщенный</v>
      </c>
      <c r="D271" s="1" t="s">
        <v>120</v>
      </c>
      <c r="E271" s="334">
        <f t="shared" si="47"/>
        <v>0</v>
      </c>
      <c r="F271" s="334">
        <f t="shared" si="50"/>
        <v>0</v>
      </c>
      <c r="G271" s="103">
        <f>ROUND((SUMIF(скв!B$4:B$12,$B271,скв!I$4:I$12))*_1!E$28,2)</f>
        <v>0</v>
      </c>
      <c r="H271" s="103">
        <f>ROUND((SUMIF(скв!K$4:K$12,$B271,скв!R$4:R$12))*_1!F$28,2)</f>
        <v>0</v>
      </c>
      <c r="I271" s="334">
        <f t="shared" si="51"/>
        <v>0</v>
      </c>
      <c r="J271" s="103">
        <f>ROUND((SUMIF(скв!T$4:T$12,$B271,скв!AA$4:AA$12))*_1!H$28,2)</f>
        <v>0</v>
      </c>
      <c r="K271" s="119">
        <f>ROUND((SUMIF(скв!AC$4:AC$12,$B271,скв!AJ$4:AJ$12))*_1!I$28,2)</f>
        <v>0</v>
      </c>
      <c r="L271"/>
      <c r="P271" s="124">
        <f t="shared" si="37"/>
        <v>0</v>
      </c>
      <c r="Q271" s="125"/>
      <c r="R271" s="125"/>
    </row>
    <row r="272" spans="1:18" s="103" customFormat="1" ht="15" customHeight="1" x14ac:dyDescent="0.45">
      <c r="A272" s="401"/>
      <c r="B272" s="213" t="str">
        <f>грунты!B$9</f>
        <v>суглинок мягкопластичный</v>
      </c>
      <c r="D272" s="1" t="s">
        <v>120</v>
      </c>
      <c r="E272" s="334">
        <f t="shared" si="47"/>
        <v>0</v>
      </c>
      <c r="F272" s="334">
        <f t="shared" si="50"/>
        <v>0</v>
      </c>
      <c r="G272" s="103">
        <f>ROUND((SUMIF(скв!B$4:B$12,$B272,скв!I$4:I$12))*_1!E$28,2)</f>
        <v>0</v>
      </c>
      <c r="H272" s="103">
        <f>ROUND((SUMIF(скв!K$4:K$12,$B272,скв!R$4:R$12))*_1!F$28,2)</f>
        <v>0</v>
      </c>
      <c r="I272" s="334">
        <f t="shared" si="51"/>
        <v>0</v>
      </c>
      <c r="J272" s="103">
        <f>ROUND((SUMIF(скв!T$4:T$12,$B272,скв!AA$4:AA$12))*_1!H$28,2)</f>
        <v>0</v>
      </c>
      <c r="K272" s="119">
        <f>ROUND((SUMIF(скв!AC$4:AC$12,$B272,скв!AJ$4:AJ$12))*_1!I$28,2)</f>
        <v>0</v>
      </c>
      <c r="L272"/>
      <c r="P272" s="124">
        <f t="shared" si="37"/>
        <v>0</v>
      </c>
      <c r="Q272" s="125"/>
      <c r="R272" s="125"/>
    </row>
    <row r="273" spans="1:18" s="103" customFormat="1" ht="15" customHeight="1" x14ac:dyDescent="0.45">
      <c r="A273" s="401"/>
      <c r="B273" s="213" t="str">
        <f>грунты!B$15</f>
        <v>супесь пластичная</v>
      </c>
      <c r="D273" s="1" t="s">
        <v>120</v>
      </c>
      <c r="E273" s="334">
        <f t="shared" si="47"/>
        <v>0</v>
      </c>
      <c r="F273" s="334">
        <f t="shared" si="50"/>
        <v>0</v>
      </c>
      <c r="G273" s="103">
        <f>ROUND((SUMIF(скв!B$4:B$12,$B273,скв!I$4:I$12))*_1!E$28,2)</f>
        <v>0</v>
      </c>
      <c r="H273" s="103">
        <f>ROUND((SUMIF(скв!K$4:K$12,$B273,скв!R$4:R$12))*_1!F$28,2)</f>
        <v>0</v>
      </c>
      <c r="I273" s="334">
        <f t="shared" si="51"/>
        <v>0</v>
      </c>
      <c r="J273" s="103">
        <f>ROUND((SUMIF(скв!T$4:T$12,$B273,скв!AA$4:AA$12))*_1!H$28,2)</f>
        <v>0</v>
      </c>
      <c r="K273" s="119">
        <f>ROUND((SUMIF(скв!AC$4:AC$12,$B273,скв!AJ$4:AJ$12))*_1!I$28,2)</f>
        <v>0</v>
      </c>
      <c r="L273"/>
      <c r="P273" s="124">
        <f t="shared" si="37"/>
        <v>0</v>
      </c>
      <c r="Q273" s="125"/>
      <c r="R273" s="125"/>
    </row>
    <row r="274" spans="1:18" s="103" customFormat="1" ht="15" customHeight="1" x14ac:dyDescent="0.45">
      <c r="A274" s="401"/>
      <c r="B274" s="213" t="str">
        <f>грунты!B$41</f>
        <v>ил</v>
      </c>
      <c r="D274" s="1" t="s">
        <v>120</v>
      </c>
      <c r="E274" s="334">
        <f t="shared" si="47"/>
        <v>0</v>
      </c>
      <c r="F274" s="334">
        <f t="shared" si="50"/>
        <v>0</v>
      </c>
      <c r="G274" s="103">
        <f>ROUND((SUMIF(скв!B$4:B$12,$B274,скв!I$4:I$12))*_1!E$28,2)</f>
        <v>0</v>
      </c>
      <c r="H274" s="103">
        <f>ROUND((SUMIF(скв!K$4:K$12,$B274,скв!R$4:R$12))*_1!F$28,2)</f>
        <v>0</v>
      </c>
      <c r="I274" s="334">
        <f t="shared" si="51"/>
        <v>0</v>
      </c>
      <c r="J274" s="103">
        <f>ROUND((SUMIF(скв!T$4:T$12,$B274,скв!AA$4:AA$12))*_1!H$28,2)</f>
        <v>0</v>
      </c>
      <c r="K274" s="119">
        <f>ROUND((SUMIF(скв!AC$4:AC$12,$B274,скв!AJ$4:AJ$12))*_1!I$28,2)</f>
        <v>0</v>
      </c>
      <c r="L274"/>
      <c r="P274" s="124">
        <f t="shared" si="37"/>
        <v>0</v>
      </c>
      <c r="Q274" s="125"/>
      <c r="R274" s="125"/>
    </row>
    <row r="275" spans="1:18" s="103" customFormat="1" ht="15" customHeight="1" x14ac:dyDescent="0.45">
      <c r="A275" s="401"/>
      <c r="B275" s="213" t="str">
        <f>грунты!B$45</f>
        <v>торф без корней</v>
      </c>
      <c r="D275" s="1" t="s">
        <v>120</v>
      </c>
      <c r="E275" s="334">
        <f t="shared" si="47"/>
        <v>0</v>
      </c>
      <c r="F275" s="334">
        <f t="shared" si="50"/>
        <v>0</v>
      </c>
      <c r="G275" s="103">
        <f>ROUND((SUMIF(скв!B$4:B$12,$B275,скв!I$4:I$12))*_1!E$28,2)</f>
        <v>0</v>
      </c>
      <c r="H275" s="103">
        <f>ROUND((SUMIF(скв!K$4:K$12,$B275,скв!R$4:R$12))*_1!F$28,2)</f>
        <v>0</v>
      </c>
      <c r="I275" s="334">
        <f t="shared" si="51"/>
        <v>0</v>
      </c>
      <c r="J275" s="103">
        <f>ROUND((SUMIF(скв!T$4:T$12,$B275,скв!AA$4:AA$12))*_1!H$28,2)</f>
        <v>0</v>
      </c>
      <c r="K275" s="119">
        <f>ROUND((SUMIF(скв!AC$4:AC$12,$B275,скв!AJ$4:AJ$12))*_1!I$28,2)</f>
        <v>0</v>
      </c>
      <c r="L275"/>
      <c r="P275" s="124">
        <f t="shared" si="37"/>
        <v>0</v>
      </c>
      <c r="Q275" s="125"/>
      <c r="R275" s="125"/>
    </row>
    <row r="276" spans="1:18" s="103" customFormat="1" ht="15" customHeight="1" x14ac:dyDescent="0.45">
      <c r="A276" s="401" t="s">
        <v>317</v>
      </c>
      <c r="B276" s="213" t="str">
        <f>грунты!B$5</f>
        <v>песок слабоцемент. с щебнем до 20%</v>
      </c>
      <c r="D276" s="1" t="s">
        <v>120</v>
      </c>
      <c r="E276" s="334">
        <f t="shared" si="47"/>
        <v>0</v>
      </c>
      <c r="F276" s="334">
        <f t="shared" si="50"/>
        <v>0</v>
      </c>
      <c r="G276" s="103">
        <f>ROUND((SUMIF(скв!B$4:B$12,$B276,скв!I$4:I$12))*_1!E$28,2)</f>
        <v>0</v>
      </c>
      <c r="H276" s="103">
        <f>ROUND((SUMIF(скв!K$4:K$12,$B276,скв!R$4:R$12))*_1!F$28,2)</f>
        <v>0</v>
      </c>
      <c r="I276" s="334">
        <f t="shared" si="51"/>
        <v>0</v>
      </c>
      <c r="J276" s="103">
        <f>ROUND((SUMIF(скв!T$4:T$12,$B276,скв!AA$4:AA$12))*_1!H$28,2)</f>
        <v>0</v>
      </c>
      <c r="K276" s="119">
        <f>ROUND((SUMIF(скв!AC$4:AC$12,$B276,скв!AJ$4:AJ$12))*_1!I$28,2)</f>
        <v>0</v>
      </c>
      <c r="L276"/>
      <c r="P276" s="124">
        <f t="shared" si="37"/>
        <v>0</v>
      </c>
      <c r="Q276" s="125"/>
      <c r="R276" s="125"/>
    </row>
    <row r="277" spans="1:18" s="103" customFormat="1" ht="15" customHeight="1" x14ac:dyDescent="0.45">
      <c r="A277" s="401"/>
      <c r="B277" s="213" t="str">
        <f>грунты!B$10</f>
        <v>суглинок тугопластичный до 10% щебня</v>
      </c>
      <c r="D277" s="1" t="s">
        <v>120</v>
      </c>
      <c r="E277" s="334">
        <f t="shared" si="47"/>
        <v>0</v>
      </c>
      <c r="F277" s="334">
        <f t="shared" si="50"/>
        <v>0</v>
      </c>
      <c r="G277" s="103">
        <f>ROUND((SUMIF(скв!B$4:B$12,$B277,скв!I$4:I$12))*_1!E$28,2)</f>
        <v>0.13</v>
      </c>
      <c r="H277" s="103">
        <f>ROUND((SUMIF(скв!K$4:K$12,$B277,скв!R$4:R$12))*_1!F$28,2)</f>
        <v>0.26</v>
      </c>
      <c r="I277" s="334">
        <f t="shared" si="51"/>
        <v>0</v>
      </c>
      <c r="J277" s="103">
        <f>ROUND((SUMIF(скв!T$4:T$12,$B277,скв!AA$4:AA$12))*_1!H$28,2)</f>
        <v>2.4900000000000002</v>
      </c>
      <c r="K277" s="119">
        <f>ROUND((SUMIF(скв!AC$4:AC$12,$B277,скв!AJ$4:AJ$12))*_1!I$28,2)</f>
        <v>1.36</v>
      </c>
      <c r="L277"/>
      <c r="P277" s="124">
        <f t="shared" si="37"/>
        <v>0</v>
      </c>
      <c r="Q277" s="125"/>
      <c r="R277" s="125"/>
    </row>
    <row r="278" spans="1:18" s="103" customFormat="1" ht="15" customHeight="1" x14ac:dyDescent="0.45">
      <c r="A278" s="401"/>
      <c r="B278" s="213" t="str">
        <f>грунты!B$11</f>
        <v>суглинок тугопластичный 10-20% щебня</v>
      </c>
      <c r="D278" s="1" t="s">
        <v>120</v>
      </c>
      <c r="E278" s="334">
        <f t="shared" si="47"/>
        <v>0</v>
      </c>
      <c r="F278" s="334">
        <f t="shared" si="50"/>
        <v>0</v>
      </c>
      <c r="G278" s="103">
        <f>ROUND((SUMIF(скв!B$4:B$12,$B278,скв!I$4:I$12))*_1!E$28,2)</f>
        <v>0</v>
      </c>
      <c r="H278" s="103">
        <f>ROUND((SUMIF(скв!K$4:K$12,$B278,скв!R$4:R$12))*_1!F$28,2)</f>
        <v>0</v>
      </c>
      <c r="I278" s="334">
        <f t="shared" si="51"/>
        <v>0</v>
      </c>
      <c r="J278" s="103">
        <f>ROUND((SUMIF(скв!T$4:T$12,$B278,скв!AA$4:AA$12))*_1!H$28,2)</f>
        <v>0</v>
      </c>
      <c r="K278" s="119">
        <f>ROUND((SUMIF(скв!AC$4:AC$12,$B278,скв!AJ$4:AJ$12))*_1!I$28,2)</f>
        <v>0</v>
      </c>
      <c r="L278"/>
      <c r="P278" s="124">
        <f t="shared" si="37"/>
        <v>0</v>
      </c>
      <c r="Q278" s="125"/>
      <c r="R278" s="125"/>
    </row>
    <row r="279" spans="1:18" s="103" customFormat="1" ht="15" customHeight="1" x14ac:dyDescent="0.45">
      <c r="A279" s="401"/>
      <c r="B279" s="213" t="str">
        <f>грунты!B$16</f>
        <v>супесь пластичная, водонасыщенная до 10% щебня</v>
      </c>
      <c r="D279" s="1" t="s">
        <v>120</v>
      </c>
      <c r="E279" s="334">
        <f t="shared" si="47"/>
        <v>0</v>
      </c>
      <c r="F279" s="334">
        <f t="shared" si="50"/>
        <v>0</v>
      </c>
      <c r="G279" s="103">
        <f>ROUND((SUMIF(скв!B$4:B$12,$B279,скв!I$4:I$12))*_1!E$28,2)</f>
        <v>0</v>
      </c>
      <c r="H279" s="103">
        <f>ROUND((SUMIF(скв!K$4:K$12,$B279,скв!R$4:R$12))*_1!F$28,2)</f>
        <v>0</v>
      </c>
      <c r="I279" s="334">
        <f t="shared" si="51"/>
        <v>0</v>
      </c>
      <c r="J279" s="103">
        <f>ROUND((SUMIF(скв!T$4:T$12,$B279,скв!AA$4:AA$12))*_1!H$28,2)</f>
        <v>0</v>
      </c>
      <c r="K279" s="119">
        <f>ROUND((SUMIF(скв!AC$4:AC$12,$B279,скв!AJ$4:AJ$12))*_1!I$28,2)</f>
        <v>0</v>
      </c>
      <c r="L279"/>
      <c r="P279" s="124">
        <f t="shared" si="37"/>
        <v>0</v>
      </c>
      <c r="Q279" s="125"/>
      <c r="R279" s="125"/>
    </row>
    <row r="280" spans="1:18" s="103" customFormat="1" ht="15" customHeight="1" x14ac:dyDescent="0.45">
      <c r="A280" s="401"/>
      <c r="B280" s="213" t="str">
        <f>грунты!B$17</f>
        <v>супесь пластичная, водонасыщенная до 20% щебня</v>
      </c>
      <c r="D280" s="1" t="s">
        <v>120</v>
      </c>
      <c r="E280" s="334">
        <f t="shared" si="47"/>
        <v>0</v>
      </c>
      <c r="F280" s="334">
        <f t="shared" si="50"/>
        <v>0</v>
      </c>
      <c r="G280" s="103">
        <f>ROUND((SUMIF(скв!B$4:B$12,$B280,скв!I$4:I$12))*_1!E$28,2)</f>
        <v>0</v>
      </c>
      <c r="H280" s="103">
        <f>ROUND((SUMIF(скв!K$4:K$12,$B280,скв!R$4:R$12))*_1!F$28,2)</f>
        <v>0</v>
      </c>
      <c r="I280" s="334">
        <f t="shared" si="51"/>
        <v>0</v>
      </c>
      <c r="J280" s="103">
        <f>ROUND((SUMIF(скв!T$4:T$12,$B280,скв!AA$4:AA$12))*_1!H$28,2)</f>
        <v>0</v>
      </c>
      <c r="K280" s="119">
        <f>ROUND((SUMIF(скв!AC$4:AC$12,$B280,скв!AJ$4:AJ$12))*_1!I$28,2)</f>
        <v>0</v>
      </c>
      <c r="L280"/>
      <c r="P280" s="124">
        <f t="shared" si="37"/>
        <v>0</v>
      </c>
      <c r="Q280" s="125"/>
      <c r="R280" s="125"/>
    </row>
    <row r="281" spans="1:18" s="103" customFormat="1" ht="15" customHeight="1" x14ac:dyDescent="0.45">
      <c r="A281" s="401"/>
      <c r="B281" s="213" t="str">
        <f>грунты!B$23</f>
        <v>глина мягкая, тугопластичная</v>
      </c>
      <c r="D281" s="1" t="s">
        <v>120</v>
      </c>
      <c r="E281" s="334">
        <f t="shared" si="47"/>
        <v>0</v>
      </c>
      <c r="F281" s="334">
        <f t="shared" si="50"/>
        <v>0</v>
      </c>
      <c r="G281" s="103">
        <f>ROUND((SUMIF(скв!B$4:B$12,$B281,скв!I$4:I$12))*_1!E$28,2)</f>
        <v>0</v>
      </c>
      <c r="H281" s="103">
        <f>ROUND((SUMIF(скв!K$4:K$12,$B281,скв!R$4:R$12))*_1!F$28,2)</f>
        <v>0</v>
      </c>
      <c r="I281" s="334">
        <f t="shared" si="51"/>
        <v>0</v>
      </c>
      <c r="J281" s="103">
        <f>ROUND((SUMIF(скв!T$4:T$12,$B281,скв!AA$4:AA$12))*_1!H$28,2)</f>
        <v>0</v>
      </c>
      <c r="K281" s="119">
        <f>ROUND((SUMIF(скв!AC$4:AC$12,$B281,скв!AJ$4:AJ$12))*_1!I$28,2)</f>
        <v>0</v>
      </c>
      <c r="L281"/>
      <c r="P281" s="124">
        <f t="shared" si="37"/>
        <v>0</v>
      </c>
      <c r="Q281" s="125"/>
      <c r="R281" s="125"/>
    </row>
    <row r="282" spans="1:18" s="103" customFormat="1" ht="15" customHeight="1" x14ac:dyDescent="0.45">
      <c r="A282" s="401"/>
      <c r="B282" s="213" t="str">
        <f>грунты!B$46</f>
        <v>торф с корнями, до 10% щебня</v>
      </c>
      <c r="D282" s="1" t="s">
        <v>120</v>
      </c>
      <c r="E282" s="334">
        <f t="shared" si="47"/>
        <v>0</v>
      </c>
      <c r="F282" s="334">
        <f t="shared" si="50"/>
        <v>0</v>
      </c>
      <c r="G282" s="103">
        <f>ROUND((SUMIF(скв!B$4:B$12,$B282,скв!I$4:I$12))*_1!E$28,2)</f>
        <v>0</v>
      </c>
      <c r="H282" s="103">
        <f>ROUND((SUMIF(скв!K$4:K$12,$B282,скв!R$4:R$12))*_1!F$28,2)</f>
        <v>0</v>
      </c>
      <c r="I282" s="334">
        <f t="shared" si="51"/>
        <v>0</v>
      </c>
      <c r="J282" s="103">
        <f>ROUND((SUMIF(скв!T$4:T$12,$B282,скв!AA$4:AA$12))*_1!H$28,2)</f>
        <v>0</v>
      </c>
      <c r="K282" s="119">
        <f>ROUND((SUMIF(скв!AC$4:AC$12,$B282,скв!AJ$4:AJ$12))*_1!I$28,2)</f>
        <v>0</v>
      </c>
      <c r="L282"/>
      <c r="P282" s="124">
        <f t="shared" si="37"/>
        <v>0</v>
      </c>
      <c r="Q282" s="125"/>
      <c r="R282" s="125"/>
    </row>
    <row r="283" spans="1:18" s="103" customFormat="1" ht="15" customHeight="1" x14ac:dyDescent="0.45">
      <c r="A283" s="401" t="s">
        <v>318</v>
      </c>
      <c r="B283" s="213" t="str">
        <f>грунты!B$6</f>
        <v>песок с щебнем 20-30%</v>
      </c>
      <c r="D283" s="1" t="s">
        <v>120</v>
      </c>
      <c r="E283" s="334">
        <f t="shared" si="47"/>
        <v>0</v>
      </c>
      <c r="F283" s="334">
        <f t="shared" si="50"/>
        <v>0</v>
      </c>
      <c r="G283" s="103">
        <f>ROUND((SUMIF(скв!B$4:B$12,$B283,скв!I$4:I$12))*_1!E$28,2)</f>
        <v>0</v>
      </c>
      <c r="H283" s="103">
        <f>ROUND((SUMIF(скв!K$4:K$12,$B283,скв!R$4:R$12))*_1!F$28,2)</f>
        <v>0</v>
      </c>
      <c r="I283" s="334">
        <f t="shared" si="51"/>
        <v>0</v>
      </c>
      <c r="J283" s="103">
        <f>ROUND((SUMIF(скв!T$4:T$12,$B283,скв!AA$4:AA$12))*_1!H$28,2)</f>
        <v>0</v>
      </c>
      <c r="K283" s="119">
        <f>ROUND((SUMIF(скв!AC$4:AC$12,$B283,скв!AJ$4:AJ$12))*_1!I$28,2)</f>
        <v>0</v>
      </c>
      <c r="L283"/>
      <c r="P283" s="124">
        <f t="shared" si="37"/>
        <v>0</v>
      </c>
      <c r="Q283" s="125"/>
      <c r="R283" s="125"/>
    </row>
    <row r="284" spans="1:18" s="103" customFormat="1" ht="15" customHeight="1" x14ac:dyDescent="0.45">
      <c r="A284" s="401"/>
      <c r="B284" s="213" t="str">
        <f>грунты!B$12</f>
        <v>суглинок тугопластичный более 20% щебня</v>
      </c>
      <c r="D284" s="1" t="s">
        <v>120</v>
      </c>
      <c r="E284" s="334">
        <f t="shared" si="47"/>
        <v>0</v>
      </c>
      <c r="F284" s="334">
        <f t="shared" si="50"/>
        <v>0</v>
      </c>
      <c r="G284" s="103">
        <f>ROUND((SUMIF(скв!B$4:B$12,$B284,скв!I$4:I$12))*_1!E$28,2)</f>
        <v>0</v>
      </c>
      <c r="H284" s="103">
        <f>ROUND((SUMIF(скв!K$4:K$12,$B284,скв!R$4:R$12))*_1!F$28,2)</f>
        <v>0</v>
      </c>
      <c r="I284" s="334">
        <f t="shared" si="51"/>
        <v>0</v>
      </c>
      <c r="J284" s="103">
        <f>ROUND((SUMIF(скв!T$4:T$12,$B284,скв!AA$4:AA$12))*_1!H$28,2)</f>
        <v>0</v>
      </c>
      <c r="K284" s="119">
        <f>ROUND((SUMIF(скв!AC$4:AC$12,$B284,скв!AJ$4:AJ$12))*_1!I$28,2)</f>
        <v>0</v>
      </c>
      <c r="L284"/>
      <c r="P284" s="124">
        <f t="shared" si="37"/>
        <v>0</v>
      </c>
      <c r="Q284" s="125"/>
      <c r="R284" s="125"/>
    </row>
    <row r="285" spans="1:18" s="103" customFormat="1" ht="15" customHeight="1" x14ac:dyDescent="0.45">
      <c r="A285" s="401"/>
      <c r="B285" s="213" t="str">
        <f>грунты!B$13</f>
        <v>суглинок полутвердый, твердый</v>
      </c>
      <c r="D285" s="1" t="s">
        <v>120</v>
      </c>
      <c r="E285" s="334">
        <f t="shared" si="47"/>
        <v>0</v>
      </c>
      <c r="F285" s="334">
        <f t="shared" si="50"/>
        <v>0</v>
      </c>
      <c r="G285" s="103">
        <f>ROUND((SUMIF(скв!B$4:B$12,$B285,скв!I$4:I$12))*_1!E$28,2)</f>
        <v>0</v>
      </c>
      <c r="H285" s="103">
        <f>ROUND((SUMIF(скв!K$4:K$12,$B285,скв!R$4:R$12))*_1!F$28,2)</f>
        <v>0</v>
      </c>
      <c r="I285" s="334">
        <f t="shared" si="51"/>
        <v>0</v>
      </c>
      <c r="J285" s="103">
        <f>ROUND((SUMIF(скв!T$4:T$12,$B285,скв!AA$4:AA$12))*_1!H$28,2)</f>
        <v>0</v>
      </c>
      <c r="K285" s="119">
        <f>ROUND((SUMIF(скв!AC$4:AC$12,$B285,скв!AJ$4:AJ$12))*_1!I$28,2)</f>
        <v>0</v>
      </c>
      <c r="L285"/>
      <c r="P285" s="124">
        <f t="shared" si="37"/>
        <v>0</v>
      </c>
      <c r="Q285" s="125"/>
      <c r="R285" s="125"/>
    </row>
    <row r="286" spans="1:18" s="103" customFormat="1" ht="15" customHeight="1" x14ac:dyDescent="0.45">
      <c r="A286" s="401"/>
      <c r="B286" s="213" t="str">
        <f>грунты!B$18</f>
        <v>супесь пластичная с валунами</v>
      </c>
      <c r="D286" s="1" t="s">
        <v>120</v>
      </c>
      <c r="E286" s="334">
        <f t="shared" si="47"/>
        <v>0</v>
      </c>
      <c r="F286" s="334">
        <f t="shared" si="50"/>
        <v>0</v>
      </c>
      <c r="G286" s="103">
        <f>ROUND((SUMIF(скв!B$4:B$12,$B286,скв!I$4:I$12))*_1!E$28,2)</f>
        <v>0</v>
      </c>
      <c r="H286" s="103">
        <f>ROUND((SUMIF(скв!K$4:K$12,$B286,скв!R$4:R$12))*_1!F$28,2)</f>
        <v>0</v>
      </c>
      <c r="I286" s="334">
        <f t="shared" si="51"/>
        <v>0</v>
      </c>
      <c r="J286" s="103">
        <f>ROUND((SUMIF(скв!T$4:T$12,$B286,скв!AA$4:AA$12))*_1!H$28,2)</f>
        <v>0</v>
      </c>
      <c r="K286" s="119">
        <f>ROUND((SUMIF(скв!AC$4:AC$12,$B286,скв!AJ$4:AJ$12))*_1!I$28,2)</f>
        <v>0</v>
      </c>
      <c r="L286"/>
      <c r="P286" s="124">
        <f t="shared" si="37"/>
        <v>0</v>
      </c>
      <c r="Q286" s="125"/>
      <c r="R286" s="125"/>
    </row>
    <row r="287" spans="1:18" s="103" customFormat="1" ht="15" customHeight="1" x14ac:dyDescent="0.45">
      <c r="A287" s="401"/>
      <c r="B287" s="213" t="str">
        <f>грунты!B$19</f>
        <v>супесь твердая</v>
      </c>
      <c r="D287" s="1" t="s">
        <v>120</v>
      </c>
      <c r="E287" s="334">
        <f t="shared" si="47"/>
        <v>0</v>
      </c>
      <c r="F287" s="334">
        <f t="shared" si="50"/>
        <v>0</v>
      </c>
      <c r="G287" s="103">
        <f>ROUND((SUMIF(скв!B$4:B$12,$B287,скв!I$4:I$12))*_1!E$28,2)</f>
        <v>0</v>
      </c>
      <c r="H287" s="103">
        <f>ROUND((SUMIF(скв!K$4:K$12,$B287,скв!R$4:R$12))*_1!F$28,2)</f>
        <v>0</v>
      </c>
      <c r="I287" s="334">
        <f t="shared" si="51"/>
        <v>0</v>
      </c>
      <c r="J287" s="103">
        <f>ROUND((SUMIF(скв!T$4:T$12,$B287,скв!AA$4:AA$12))*_1!H$28,2)</f>
        <v>0</v>
      </c>
      <c r="K287" s="119">
        <f>ROUND((SUMIF(скв!AC$4:AC$12,$B287,скв!AJ$4:AJ$12))*_1!I$28,2)</f>
        <v>0</v>
      </c>
      <c r="L287"/>
      <c r="P287" s="124">
        <f t="shared" si="37"/>
        <v>0</v>
      </c>
      <c r="Q287" s="125"/>
      <c r="R287" s="125"/>
    </row>
    <row r="288" spans="1:18" s="103" customFormat="1" ht="15" customHeight="1" x14ac:dyDescent="0.45">
      <c r="A288" s="401"/>
      <c r="B288" s="213" t="str">
        <f>грунты!B$24</f>
        <v>глина мягкопластичная</v>
      </c>
      <c r="D288" s="1" t="s">
        <v>120</v>
      </c>
      <c r="E288" s="334">
        <f t="shared" si="47"/>
        <v>0</v>
      </c>
      <c r="F288" s="334">
        <f t="shared" si="50"/>
        <v>0</v>
      </c>
      <c r="G288" s="103">
        <f>ROUND((SUMIF(скв!B$4:B$12,$B288,скв!I$4:I$12))*_1!E$28,2)</f>
        <v>0</v>
      </c>
      <c r="H288" s="103">
        <f>ROUND((SUMIF(скв!K$4:K$12,$B288,скв!R$4:R$12))*_1!F$28,2)</f>
        <v>0</v>
      </c>
      <c r="I288" s="334">
        <f t="shared" si="51"/>
        <v>0</v>
      </c>
      <c r="J288" s="103">
        <f>ROUND((SUMIF(скв!T$4:T$12,$B288,скв!AA$4:AA$12))*_1!H$28,2)</f>
        <v>0</v>
      </c>
      <c r="K288" s="119">
        <f>ROUND((SUMIF(скв!AC$4:AC$12,$B288,скв!AJ$4:AJ$12))*_1!I$28,2)</f>
        <v>0</v>
      </c>
      <c r="L288"/>
      <c r="P288" s="124">
        <f t="shared" si="37"/>
        <v>0</v>
      </c>
      <c r="Q288" s="125"/>
      <c r="R288" s="125"/>
    </row>
    <row r="289" spans="1:18" s="103" customFormat="1" ht="15" customHeight="1" x14ac:dyDescent="0.45">
      <c r="A289" s="401"/>
      <c r="B289" s="213" t="str">
        <f>грунты!B$25</f>
        <v>глина полутвердая</v>
      </c>
      <c r="D289" s="1" t="s">
        <v>120</v>
      </c>
      <c r="E289" s="334">
        <f t="shared" si="47"/>
        <v>0</v>
      </c>
      <c r="F289" s="334">
        <f t="shared" si="50"/>
        <v>0</v>
      </c>
      <c r="G289" s="103">
        <f>ROUND((SUMIF(скв!B$4:B$12,$B289,скв!I$4:I$12))*_1!E$28,2)</f>
        <v>0.33</v>
      </c>
      <c r="H289" s="103">
        <f>ROUND((SUMIF(скв!K$4:K$12,$B289,скв!R$4:R$12))*_1!F$28,2)</f>
        <v>0.41</v>
      </c>
      <c r="I289" s="334">
        <f t="shared" si="51"/>
        <v>0</v>
      </c>
      <c r="J289" s="103">
        <f>ROUND((SUMIF(скв!T$4:T$12,$B289,скв!AA$4:AA$12))*_1!H$28,2)</f>
        <v>2.94</v>
      </c>
      <c r="K289" s="119">
        <f>ROUND((SUMIF(скв!AC$4:AC$12,$B289,скв!AJ$4:AJ$12))*_1!I$28,2)</f>
        <v>3.05</v>
      </c>
      <c r="L289"/>
      <c r="P289" s="124">
        <f t="shared" si="37"/>
        <v>0</v>
      </c>
      <c r="Q289" s="125"/>
      <c r="R289" s="125"/>
    </row>
    <row r="290" spans="1:18" s="103" customFormat="1" ht="15" customHeight="1" x14ac:dyDescent="0.45">
      <c r="A290" s="401"/>
      <c r="B290" s="213" t="str">
        <f>грунты!B$42</f>
        <v>мергель низкой прочности</v>
      </c>
      <c r="D290" s="1" t="s">
        <v>120</v>
      </c>
      <c r="E290" s="334">
        <f t="shared" si="47"/>
        <v>0</v>
      </c>
      <c r="F290" s="334">
        <f t="shared" si="50"/>
        <v>0</v>
      </c>
      <c r="G290" s="103">
        <f>ROUND((SUMIF(скв!B$4:B$12,$B290,скв!I$4:I$12))*_1!E$28,2)</f>
        <v>0</v>
      </c>
      <c r="H290" s="103">
        <f>ROUND((SUMIF(скв!K$4:K$12,$B290,скв!R$4:R$12))*_1!F$28,2)</f>
        <v>0</v>
      </c>
      <c r="I290" s="334">
        <f t="shared" si="51"/>
        <v>0</v>
      </c>
      <c r="J290" s="103">
        <f>ROUND((SUMIF(скв!T$4:T$12,$B290,скв!AA$4:AA$12))*_1!H$28,2)</f>
        <v>0</v>
      </c>
      <c r="K290" s="119">
        <f>ROUND((SUMIF(скв!AC$4:AC$12,$B290,скв!AJ$4:AJ$12))*_1!I$28,2)</f>
        <v>0</v>
      </c>
      <c r="L290"/>
      <c r="P290" s="124">
        <f t="shared" si="37"/>
        <v>0</v>
      </c>
      <c r="Q290" s="125"/>
      <c r="R290" s="125"/>
    </row>
    <row r="291" spans="1:18" s="103" customFormat="1" ht="15" customHeight="1" x14ac:dyDescent="0.45">
      <c r="A291" s="401"/>
      <c r="B291" s="213" t="str">
        <f>грунты!B$47</f>
        <v>торф  с щебнем более 10%</v>
      </c>
      <c r="D291" s="1" t="s">
        <v>120</v>
      </c>
      <c r="E291" s="334">
        <f t="shared" si="47"/>
        <v>0</v>
      </c>
      <c r="F291" s="334">
        <f t="shared" si="50"/>
        <v>0</v>
      </c>
      <c r="G291" s="103">
        <f>ROUND((SUMIF(скв!B$4:B$12,$B291,скв!I$4:I$12))*_1!E$28,2)</f>
        <v>0</v>
      </c>
      <c r="H291" s="103">
        <f>ROUND((SUMIF(скв!K$4:K$12,$B291,скв!R$4:R$12))*_1!F$28,2)</f>
        <v>0</v>
      </c>
      <c r="I291" s="334">
        <f t="shared" si="51"/>
        <v>0</v>
      </c>
      <c r="J291" s="103">
        <f>ROUND((SUMIF(скв!T$4:T$12,$B291,скв!AA$4:AA$12))*_1!H$28,2)</f>
        <v>0</v>
      </c>
      <c r="K291" s="119">
        <f>ROUND((SUMIF(скв!AC$4:AC$12,$B291,скв!AJ$4:AJ$12))*_1!I$28,2)</f>
        <v>0</v>
      </c>
      <c r="L291"/>
      <c r="P291" s="124">
        <f t="shared" si="37"/>
        <v>0</v>
      </c>
      <c r="Q291" s="125"/>
      <c r="R291" s="125"/>
    </row>
    <row r="292" spans="1:18" s="103" customFormat="1" ht="15" customHeight="1" x14ac:dyDescent="0.45">
      <c r="A292" s="401" t="s">
        <v>319</v>
      </c>
      <c r="B292" s="213" t="str">
        <f>грунты!B$7</f>
        <v>песок с щебнем более 30%</v>
      </c>
      <c r="D292" s="1" t="s">
        <v>120</v>
      </c>
      <c r="E292" s="334">
        <f t="shared" si="47"/>
        <v>0</v>
      </c>
      <c r="F292" s="334">
        <f t="shared" si="50"/>
        <v>0</v>
      </c>
      <c r="G292" s="103">
        <f>ROUND((SUMIF(скв!B$4:B$12,$B292,скв!I$4:I$12))*_1!E$28,2)</f>
        <v>0</v>
      </c>
      <c r="H292" s="103">
        <f>ROUND((SUMIF(скв!K$4:K$12,$B292,скв!R$4:R$12))*_1!F$28,2)</f>
        <v>0</v>
      </c>
      <c r="I292" s="334">
        <f t="shared" si="51"/>
        <v>0</v>
      </c>
      <c r="J292" s="103">
        <f>ROUND((SUMIF(скв!T$4:T$12,$B292,скв!AA$4:AA$12))*_1!H$28,2)</f>
        <v>0</v>
      </c>
      <c r="K292" s="119">
        <f>ROUND((SUMIF(скв!AC$4:AC$12,$B292,скв!AJ$4:AJ$12))*_1!I$28,2)</f>
        <v>0</v>
      </c>
      <c r="L292"/>
      <c r="P292" s="124">
        <f t="shared" si="37"/>
        <v>0</v>
      </c>
      <c r="Q292" s="125"/>
      <c r="R292" s="125"/>
    </row>
    <row r="293" spans="1:18" s="103" customFormat="1" ht="15" customHeight="1" x14ac:dyDescent="0.45">
      <c r="A293" s="401"/>
      <c r="B293" s="213" t="str">
        <f>грунты!B$14</f>
        <v>суглинок с валунами</v>
      </c>
      <c r="D293" s="1" t="s">
        <v>120</v>
      </c>
      <c r="E293" s="334">
        <f t="shared" si="47"/>
        <v>0</v>
      </c>
      <c r="F293" s="334">
        <f t="shared" si="50"/>
        <v>0</v>
      </c>
      <c r="G293" s="103">
        <f>ROUND((SUMIF(скв!B$4:B$12,$B293,скв!I$4:I$12))*_1!E$28,2)</f>
        <v>0</v>
      </c>
      <c r="H293" s="103">
        <f>ROUND((SUMIF(скв!K$4:K$12,$B293,скв!R$4:R$12))*_1!F$28,2)</f>
        <v>0</v>
      </c>
      <c r="I293" s="334">
        <f t="shared" si="51"/>
        <v>0</v>
      </c>
      <c r="J293" s="103">
        <f>ROUND((SUMIF(скв!T$4:T$12,$B293,скв!AA$4:AA$12))*_1!H$28,2)</f>
        <v>0</v>
      </c>
      <c r="K293" s="119">
        <f>ROUND((SUMIF(скв!AC$4:AC$12,$B293,скв!AJ$4:AJ$12))*_1!I$28,2)</f>
        <v>0</v>
      </c>
      <c r="L293"/>
      <c r="P293" s="124">
        <f t="shared" si="37"/>
        <v>0</v>
      </c>
      <c r="Q293" s="125"/>
      <c r="R293" s="125"/>
    </row>
    <row r="294" spans="1:18" s="103" customFormat="1" ht="15" customHeight="1" x14ac:dyDescent="0.45">
      <c r="A294" s="401"/>
      <c r="B294" s="213" t="str">
        <f>грунты!B$20</f>
        <v>супесь твердая с валунами</v>
      </c>
      <c r="D294" s="1" t="s">
        <v>120</v>
      </c>
      <c r="E294" s="334">
        <f t="shared" si="47"/>
        <v>0</v>
      </c>
      <c r="F294" s="334">
        <f t="shared" si="50"/>
        <v>0</v>
      </c>
      <c r="G294" s="103">
        <f>ROUND((SUMIF(скв!B$4:B$12,$B294,скв!I$4:I$12))*_1!E$28,2)</f>
        <v>0</v>
      </c>
      <c r="H294" s="103">
        <f>ROUND((SUMIF(скв!K$4:K$12,$B294,скв!R$4:R$12))*_1!F$28,2)</f>
        <v>0</v>
      </c>
      <c r="I294" s="334">
        <f t="shared" si="51"/>
        <v>0</v>
      </c>
      <c r="J294" s="103">
        <f>ROUND((SUMIF(скв!T$4:T$12,$B294,скв!AA$4:AA$12))*_1!H$28,2)</f>
        <v>0</v>
      </c>
      <c r="K294" s="119">
        <f>ROUND((SUMIF(скв!AC$4:AC$12,$B294,скв!AJ$4:AJ$12))*_1!I$28,2)</f>
        <v>0</v>
      </c>
      <c r="L294"/>
      <c r="P294" s="124">
        <f t="shared" si="37"/>
        <v>0</v>
      </c>
      <c r="Q294" s="125"/>
      <c r="R294" s="125"/>
    </row>
    <row r="295" spans="1:18" s="103" customFormat="1" ht="15" customHeight="1" x14ac:dyDescent="0.45">
      <c r="A295" s="401"/>
      <c r="B295" s="213" t="str">
        <f>грунты!B$21</f>
        <v>супесь твердая с более 30% щебня</v>
      </c>
      <c r="D295" s="1" t="s">
        <v>120</v>
      </c>
      <c r="E295" s="334">
        <f t="shared" si="47"/>
        <v>0</v>
      </c>
      <c r="F295" s="334">
        <f t="shared" si="50"/>
        <v>0</v>
      </c>
      <c r="G295" s="103">
        <f>ROUND((SUMIF(скв!B$4:B$12,$B295,скв!I$4:I$12))*_1!E$28,2)</f>
        <v>0</v>
      </c>
      <c r="H295" s="103">
        <f>ROUND((SUMIF(скв!K$4:K$12,$B295,скв!R$4:R$12))*_1!F$28,2)</f>
        <v>0</v>
      </c>
      <c r="I295" s="334">
        <f t="shared" si="51"/>
        <v>0</v>
      </c>
      <c r="J295" s="103">
        <f>ROUND((SUMIF(скв!T$4:T$12,$B295,скв!AA$4:AA$12))*_1!H$28,2)</f>
        <v>0</v>
      </c>
      <c r="K295" s="119">
        <f>ROUND((SUMIF(скв!AC$4:AC$12,$B295,скв!AJ$4:AJ$12))*_1!I$28,2)</f>
        <v>0</v>
      </c>
      <c r="L295"/>
      <c r="P295" s="124">
        <f t="shared" si="37"/>
        <v>0</v>
      </c>
      <c r="Q295" s="125"/>
      <c r="R295" s="125"/>
    </row>
    <row r="296" spans="1:18" s="103" customFormat="1" ht="15" customHeight="1" x14ac:dyDescent="0.45">
      <c r="A296" s="401"/>
      <c r="B296" s="213" t="str">
        <f>грунты!B$26</f>
        <v>глина мягкопластичная с щебнем более 10%</v>
      </c>
      <c r="D296" s="1" t="s">
        <v>120</v>
      </c>
      <c r="E296" s="334">
        <f t="shared" si="47"/>
        <v>0</v>
      </c>
      <c r="F296" s="334">
        <f t="shared" si="50"/>
        <v>0</v>
      </c>
      <c r="G296" s="103">
        <f>ROUND((SUMIF(скв!B$4:B$12,$B296,скв!I$4:I$12))*_1!E$28,2)</f>
        <v>0</v>
      </c>
      <c r="H296" s="103">
        <f>ROUND((SUMIF(скв!K$4:K$12,$B296,скв!R$4:R$12))*_1!F$28,2)</f>
        <v>0</v>
      </c>
      <c r="I296" s="334">
        <f t="shared" si="51"/>
        <v>0</v>
      </c>
      <c r="J296" s="103">
        <f>ROUND((SUMIF(скв!T$4:T$12,$B296,скв!AA$4:AA$12))*_1!H$28,2)</f>
        <v>0</v>
      </c>
      <c r="K296" s="119">
        <f>ROUND((SUMIF(скв!AC$4:AC$12,$B296,скв!AJ$4:AJ$12))*_1!I$28,2)</f>
        <v>0</v>
      </c>
      <c r="L296"/>
      <c r="P296" s="124">
        <f t="shared" si="37"/>
        <v>0</v>
      </c>
      <c r="Q296" s="125"/>
      <c r="R296" s="125"/>
    </row>
    <row r="297" spans="1:18" s="103" customFormat="1" ht="15" customHeight="1" x14ac:dyDescent="0.45">
      <c r="A297" s="401"/>
      <c r="B297" s="213" t="str">
        <f>грунты!B$27</f>
        <v>глина полутвердая с щебнем более 10%</v>
      </c>
      <c r="D297" s="1" t="s">
        <v>120</v>
      </c>
      <c r="E297" s="334">
        <f t="shared" si="47"/>
        <v>0</v>
      </c>
      <c r="F297" s="334">
        <f t="shared" si="50"/>
        <v>0</v>
      </c>
      <c r="G297" s="103">
        <f>ROUND((SUMIF(скв!B$4:B$12,$B297,скв!I$4:I$12))*_1!E$28,2)</f>
        <v>0</v>
      </c>
      <c r="H297" s="103">
        <f>ROUND((SUMIF(скв!K$4:K$12,$B297,скв!R$4:R$12))*_1!F$28,2)</f>
        <v>0</v>
      </c>
      <c r="I297" s="334">
        <f t="shared" si="51"/>
        <v>0</v>
      </c>
      <c r="J297" s="103">
        <f>ROUND((SUMIF(скв!T$4:T$12,$B297,скв!AA$4:AA$12))*_1!H$28,2)</f>
        <v>0</v>
      </c>
      <c r="K297" s="119">
        <f>ROUND((SUMIF(скв!AC$4:AC$12,$B297,скв!AJ$4:AJ$12))*_1!I$28,2)</f>
        <v>0</v>
      </c>
      <c r="L297"/>
      <c r="P297" s="124">
        <f t="shared" si="37"/>
        <v>0</v>
      </c>
      <c r="Q297" s="125"/>
      <c r="R297" s="125"/>
    </row>
    <row r="298" spans="1:18" s="103" customFormat="1" ht="15" customHeight="1" x14ac:dyDescent="0.45">
      <c r="A298" s="401"/>
      <c r="B298" s="213" t="str">
        <f>грунты!B$28</f>
        <v>глина текучепластичная</v>
      </c>
      <c r="D298" s="1" t="s">
        <v>120</v>
      </c>
      <c r="E298" s="334">
        <f t="shared" si="47"/>
        <v>0</v>
      </c>
      <c r="F298" s="334">
        <f t="shared" si="50"/>
        <v>0</v>
      </c>
      <c r="G298" s="103">
        <f>ROUND((SUMIF(скв!B$4:B$12,$B298,скв!I$4:I$12))*_1!E$28,2)</f>
        <v>0</v>
      </c>
      <c r="H298" s="103">
        <f>ROUND((SUMIF(скв!K$4:K$12,$B298,скв!R$4:R$12))*_1!F$28,2)</f>
        <v>0</v>
      </c>
      <c r="I298" s="334">
        <f t="shared" si="51"/>
        <v>0</v>
      </c>
      <c r="J298" s="103">
        <f>ROUND((SUMIF(скв!T$4:T$12,$B298,скв!AA$4:AA$12))*_1!H$28,2)</f>
        <v>0</v>
      </c>
      <c r="K298" s="119">
        <f>ROUND((SUMIF(скв!AC$4:AC$12,$B298,скв!AJ$4:AJ$12))*_1!I$28,2)</f>
        <v>0</v>
      </c>
      <c r="L298"/>
      <c r="P298" s="124">
        <f t="shared" si="37"/>
        <v>0</v>
      </c>
      <c r="Q298" s="125"/>
      <c r="R298" s="125"/>
    </row>
    <row r="299" spans="1:18" s="103" customFormat="1" ht="15" customHeight="1" x14ac:dyDescent="0.45">
      <c r="A299" s="401"/>
      <c r="B299" s="213" t="str">
        <f>грунты!B$29</f>
        <v>глина плотная, с валунами</v>
      </c>
      <c r="D299" s="1" t="s">
        <v>120</v>
      </c>
      <c r="E299" s="334">
        <f t="shared" si="47"/>
        <v>0</v>
      </c>
      <c r="F299" s="334">
        <f t="shared" si="50"/>
        <v>0</v>
      </c>
      <c r="G299" s="103">
        <f>ROUND((SUMIF(скв!B$4:B$12,$B299,скв!I$4:I$12))*_1!E$28,2)</f>
        <v>0</v>
      </c>
      <c r="H299" s="103">
        <f>ROUND((SUMIF(скв!K$4:K$12,$B299,скв!R$4:R$12))*_1!F$28,2)</f>
        <v>0</v>
      </c>
      <c r="I299" s="334">
        <f t="shared" si="51"/>
        <v>0</v>
      </c>
      <c r="J299" s="103">
        <f>ROUND((SUMIF(скв!T$4:T$12,$B299,скв!AA$4:AA$12))*_1!H$28,2)</f>
        <v>0</v>
      </c>
      <c r="K299" s="119">
        <f>ROUND((SUMIF(скв!AC$4:AC$12,$B299,скв!AJ$4:AJ$12))*_1!I$28,2)</f>
        <v>0</v>
      </c>
      <c r="L299"/>
      <c r="P299" s="124">
        <f t="shared" si="37"/>
        <v>0</v>
      </c>
      <c r="Q299" s="125"/>
      <c r="R299" s="125"/>
    </row>
    <row r="300" spans="1:18" s="103" customFormat="1" ht="15" customHeight="1" x14ac:dyDescent="0.45">
      <c r="A300" s="401"/>
      <c r="B300" s="213" t="str">
        <f>грунты!B$32</f>
        <v>бетон слабый</v>
      </c>
      <c r="D300" s="1" t="s">
        <v>120</v>
      </c>
      <c r="E300" s="334">
        <f t="shared" si="47"/>
        <v>0</v>
      </c>
      <c r="F300" s="334">
        <f t="shared" si="50"/>
        <v>0</v>
      </c>
      <c r="G300" s="103">
        <f>ROUND((SUMIF(скв!B$4:B$12,$B300,скв!I$4:I$12))*_1!E$28,2)</f>
        <v>0</v>
      </c>
      <c r="H300" s="103">
        <f>ROUND((SUMIF(скв!K$4:K$12,$B300,скв!R$4:R$12))*_1!F$28,2)</f>
        <v>0</v>
      </c>
      <c r="I300" s="334">
        <f t="shared" si="51"/>
        <v>0</v>
      </c>
      <c r="J300" s="103">
        <f>ROUND((SUMIF(скв!T$4:T$12,$B300,скв!AA$4:AA$12))*_1!H$28,2)</f>
        <v>0</v>
      </c>
      <c r="K300" s="119">
        <f>ROUND((SUMIF(скв!AC$4:AC$12,$B300,скв!AJ$4:AJ$12))*_1!I$28,2)</f>
        <v>0</v>
      </c>
      <c r="L300"/>
      <c r="P300" s="124">
        <f t="shared" si="37"/>
        <v>0</v>
      </c>
      <c r="Q300" s="125"/>
      <c r="R300" s="125"/>
    </row>
    <row r="301" spans="1:18" s="103" customFormat="1" ht="15" customHeight="1" x14ac:dyDescent="0.45">
      <c r="A301" s="401"/>
      <c r="B301" s="213" t="str">
        <f>грунты!B$36</f>
        <v>дресвяный</v>
      </c>
      <c r="D301" s="1" t="s">
        <v>120</v>
      </c>
      <c r="E301" s="334">
        <f t="shared" si="47"/>
        <v>0</v>
      </c>
      <c r="F301" s="334">
        <f t="shared" si="50"/>
        <v>0</v>
      </c>
      <c r="G301" s="103">
        <f>ROUND((SUMIF(скв!B$4:B$12,$B301,скв!I$4:I$12))*_1!E$28,2)</f>
        <v>0</v>
      </c>
      <c r="H301" s="103">
        <f>ROUND((SUMIF(скв!K$4:K$12,$B301,скв!R$4:R$12))*_1!F$28,2)</f>
        <v>0</v>
      </c>
      <c r="I301" s="334">
        <f t="shared" si="51"/>
        <v>0</v>
      </c>
      <c r="J301" s="103">
        <f>ROUND((SUMIF(скв!T$4:T$12,$B301,скв!AA$4:AA$12))*_1!H$28,2)</f>
        <v>0</v>
      </c>
      <c r="K301" s="119">
        <f>ROUND((SUMIF(скв!AC$4:AC$12,$B301,скв!AJ$4:AJ$12))*_1!I$28,2)</f>
        <v>0</v>
      </c>
      <c r="L301"/>
      <c r="P301" s="124">
        <f t="shared" si="37"/>
        <v>0</v>
      </c>
      <c r="Q301" s="125"/>
      <c r="R301" s="125"/>
    </row>
    <row r="302" spans="1:18" s="103" customFormat="1" ht="15" customHeight="1" x14ac:dyDescent="0.45">
      <c r="A302" s="401"/>
      <c r="B302" s="213" t="str">
        <f>грунты!B$37</f>
        <v>известняк сильновыветривывшийся</v>
      </c>
      <c r="D302" s="1" t="s">
        <v>120</v>
      </c>
      <c r="E302" s="334">
        <f t="shared" si="47"/>
        <v>0</v>
      </c>
      <c r="F302" s="334">
        <f t="shared" si="50"/>
        <v>0</v>
      </c>
      <c r="G302" s="103">
        <f>ROUND((SUMIF(скв!B$4:B$12,$B302,скв!I$4:I$12))*_1!E$28,2)</f>
        <v>0</v>
      </c>
      <c r="H302" s="103">
        <f>ROUND((SUMIF(скв!K$4:K$12,$B302,скв!R$4:R$12))*_1!F$28,2)</f>
        <v>0</v>
      </c>
      <c r="I302" s="334">
        <f t="shared" si="51"/>
        <v>0</v>
      </c>
      <c r="J302" s="103">
        <f>ROUND((SUMIF(скв!T$4:T$12,$B302,скв!AA$4:AA$12))*_1!H$28,2)</f>
        <v>0</v>
      </c>
      <c r="K302" s="119">
        <f>ROUND((SUMIF(скв!AC$4:AC$12,$B302,скв!AJ$4:AJ$12))*_1!I$28,2)</f>
        <v>0</v>
      </c>
      <c r="L302"/>
      <c r="P302" s="124">
        <f t="shared" si="37"/>
        <v>0</v>
      </c>
      <c r="Q302" s="125"/>
      <c r="R302" s="125"/>
    </row>
    <row r="303" spans="1:18" s="103" customFormat="1" ht="15" customHeight="1" x14ac:dyDescent="0.45">
      <c r="A303" s="401"/>
      <c r="B303" s="213" t="str">
        <f>грунты!B$43</f>
        <v>мергель малопрочный</v>
      </c>
      <c r="D303" s="1" t="s">
        <v>120</v>
      </c>
      <c r="E303" s="334">
        <f t="shared" si="47"/>
        <v>0</v>
      </c>
      <c r="F303" s="334">
        <f t="shared" si="50"/>
        <v>0</v>
      </c>
      <c r="G303" s="103">
        <f>ROUND((SUMIF(скв!B$4:B$12,$B303,скв!I$4:I$12))*_1!E$28,2)</f>
        <v>0</v>
      </c>
      <c r="H303" s="103">
        <f>ROUND((SUMIF(скв!K$4:K$12,$B303,скв!R$4:R$12))*_1!F$28,2)</f>
        <v>0</v>
      </c>
      <c r="I303" s="334">
        <f t="shared" si="51"/>
        <v>0</v>
      </c>
      <c r="J303" s="103">
        <f>ROUND((SUMIF(скв!T$4:T$12,$B303,скв!AA$4:AA$12))*_1!H$28,2)</f>
        <v>0</v>
      </c>
      <c r="K303" s="119">
        <f>ROUND((SUMIF(скв!AC$4:AC$12,$B303,скв!AJ$4:AJ$12))*_1!I$28,2)</f>
        <v>0</v>
      </c>
      <c r="L303"/>
      <c r="P303" s="124">
        <f t="shared" si="37"/>
        <v>0</v>
      </c>
      <c r="Q303" s="125"/>
      <c r="R303" s="125"/>
    </row>
    <row r="304" spans="1:18" s="103" customFormat="1" ht="15" customHeight="1" x14ac:dyDescent="0.45">
      <c r="A304" s="401" t="s">
        <v>320</v>
      </c>
      <c r="B304" s="213" t="str">
        <f>грунты!B$8</f>
        <v>песок железистый на известк. цементе</v>
      </c>
      <c r="D304" s="1" t="s">
        <v>120</v>
      </c>
      <c r="E304" s="334">
        <f t="shared" si="47"/>
        <v>0</v>
      </c>
      <c r="F304" s="334">
        <f t="shared" si="50"/>
        <v>0</v>
      </c>
      <c r="G304" s="103">
        <f>ROUND((SUMIF(скв!B$4:B$12,$B304,скв!I$4:I$12))*_1!E$28,2)</f>
        <v>0</v>
      </c>
      <c r="H304" s="103">
        <f>ROUND((SUMIF(скв!K$4:K$12,$B304,скв!R$4:R$12))*_1!F$28,2)</f>
        <v>0</v>
      </c>
      <c r="I304" s="334">
        <f t="shared" si="51"/>
        <v>0</v>
      </c>
      <c r="J304" s="103">
        <f>ROUND((SUMIF(скв!T$4:T$12,$B304,скв!AA$4:AA$12))*_1!H$28,2)</f>
        <v>0</v>
      </c>
      <c r="K304" s="119">
        <f>ROUND((SUMIF(скв!AC$4:AC$12,$B304,скв!AJ$4:AJ$12))*_1!I$28,2)</f>
        <v>0</v>
      </c>
      <c r="L304"/>
      <c r="P304" s="124">
        <f t="shared" si="37"/>
        <v>0</v>
      </c>
      <c r="Q304" s="125"/>
      <c r="R304" s="125"/>
    </row>
    <row r="305" spans="1:19" s="103" customFormat="1" ht="15" customHeight="1" x14ac:dyDescent="0.45">
      <c r="A305" s="401"/>
      <c r="B305" s="213" t="str">
        <f>грунты!B$22</f>
        <v>супесь твердая с более 30% щебня и валунами</v>
      </c>
      <c r="D305" s="1" t="s">
        <v>120</v>
      </c>
      <c r="E305" s="334">
        <f t="shared" si="47"/>
        <v>0</v>
      </c>
      <c r="F305" s="334">
        <f t="shared" si="50"/>
        <v>0</v>
      </c>
      <c r="G305" s="103">
        <f>ROUND((SUMIF(скв!B$4:B$12,$B305,скв!I$4:I$12))*_1!E$28,2)</f>
        <v>0</v>
      </c>
      <c r="H305" s="103">
        <f>ROUND((SUMIF(скв!K$4:K$12,$B305,скв!R$4:R$12))*_1!F$28,2)</f>
        <v>0</v>
      </c>
      <c r="I305" s="334">
        <f t="shared" si="51"/>
        <v>0</v>
      </c>
      <c r="J305" s="103">
        <f>ROUND((SUMIF(скв!T$4:T$12,$B305,скв!AA$4:AA$12))*_1!H$28,2)</f>
        <v>0</v>
      </c>
      <c r="K305" s="119">
        <f>ROUND((SUMIF(скв!AC$4:AC$12,$B305,скв!AJ$4:AJ$12))*_1!I$28,2)</f>
        <v>0</v>
      </c>
      <c r="L305"/>
      <c r="P305" s="124">
        <f t="shared" si="37"/>
        <v>0</v>
      </c>
      <c r="Q305" s="125"/>
      <c r="R305" s="125"/>
    </row>
    <row r="306" spans="1:19" s="103" customFormat="1" ht="15" customHeight="1" x14ac:dyDescent="0.45">
      <c r="A306" s="401"/>
      <c r="B306" s="213" t="str">
        <f>грунты!B$30</f>
        <v>глина плотная, твердая</v>
      </c>
      <c r="D306" s="1" t="s">
        <v>120</v>
      </c>
      <c r="E306" s="334">
        <f t="shared" si="47"/>
        <v>0</v>
      </c>
      <c r="F306" s="334">
        <f t="shared" si="50"/>
        <v>0</v>
      </c>
      <c r="G306" s="103">
        <f>ROUND((SUMIF(скв!B$4:B$12,$B306,скв!I$4:I$12))*_1!E$28,2)</f>
        <v>0.41</v>
      </c>
      <c r="H306" s="103">
        <f>ROUND((SUMIF(скв!K$4:K$12,$B306,скв!R$4:R$12))*_1!F$28,2)</f>
        <v>0.38</v>
      </c>
      <c r="I306" s="334">
        <f t="shared" si="51"/>
        <v>0</v>
      </c>
      <c r="J306" s="103">
        <f>ROUND((SUMIF(скв!T$4:T$12,$B306,скв!AA$4:AA$12))*_1!H$28,2)</f>
        <v>3.62</v>
      </c>
      <c r="K306" s="119">
        <f>ROUND((SUMIF(скв!AC$4:AC$12,$B306,скв!AJ$4:AJ$12))*_1!I$28,2)</f>
        <v>3.73</v>
      </c>
      <c r="L306"/>
      <c r="P306" s="124">
        <f t="shared" si="37"/>
        <v>0</v>
      </c>
      <c r="Q306" s="125"/>
      <c r="R306" s="125"/>
    </row>
    <row r="307" spans="1:19" s="103" customFormat="1" ht="15" customHeight="1" x14ac:dyDescent="0.45">
      <c r="A307" s="401"/>
      <c r="B307" s="213" t="str">
        <f>грунты!B$34</f>
        <v>гравий и галька фр. до 80мм</v>
      </c>
      <c r="D307" s="1" t="s">
        <v>120</v>
      </c>
      <c r="E307" s="334">
        <f t="shared" si="47"/>
        <v>0</v>
      </c>
      <c r="F307" s="334">
        <f t="shared" si="50"/>
        <v>0</v>
      </c>
      <c r="G307" s="103">
        <f>ROUND((SUMIF(скв!B$4:B$12,$B307,скв!I$4:I$12))*_1!E$28,2)</f>
        <v>0</v>
      </c>
      <c r="H307" s="103">
        <f>ROUND((SUMIF(скв!K$4:K$12,$B307,скв!R$4:R$12))*_1!F$28,2)</f>
        <v>0</v>
      </c>
      <c r="I307" s="334">
        <f t="shared" si="51"/>
        <v>0</v>
      </c>
      <c r="J307" s="103">
        <f>ROUND((SUMIF(скв!T$4:T$12,$B307,скв!AA$4:AA$12))*_1!H$28,2)</f>
        <v>0</v>
      </c>
      <c r="K307" s="119">
        <f>ROUND((SUMIF(скв!AC$4:AC$12,$B307,скв!AJ$4:AJ$12))*_1!I$28,2)</f>
        <v>0</v>
      </c>
      <c r="L307"/>
      <c r="P307" s="124">
        <f t="shared" si="37"/>
        <v>0</v>
      </c>
      <c r="Q307" s="125"/>
      <c r="R307" s="125"/>
    </row>
    <row r="308" spans="1:19" s="103" customFormat="1" ht="15" customHeight="1" x14ac:dyDescent="0.45">
      <c r="A308" s="401"/>
      <c r="B308" s="213" t="str">
        <f>грунты!B$38</f>
        <v>известняк малопрочный, выветривывшийся</v>
      </c>
      <c r="D308" s="1" t="s">
        <v>120</v>
      </c>
      <c r="E308" s="334">
        <f t="shared" si="47"/>
        <v>0</v>
      </c>
      <c r="F308" s="334">
        <f t="shared" si="50"/>
        <v>0</v>
      </c>
      <c r="G308" s="103">
        <f>ROUND((SUMIF(скв!B$4:B$12,$B308,скв!I$4:I$12))*_1!E$28,2)</f>
        <v>0</v>
      </c>
      <c r="H308" s="103">
        <f>ROUND((SUMIF(скв!K$4:K$12,$B308,скв!R$4:R$12))*_1!F$28,2)</f>
        <v>0</v>
      </c>
      <c r="I308" s="334">
        <f t="shared" si="51"/>
        <v>0</v>
      </c>
      <c r="J308" s="103">
        <f>ROUND((SUMIF(скв!T$4:T$12,$B308,скв!AA$4:AA$12))*_1!H$28,2)</f>
        <v>0</v>
      </c>
      <c r="K308" s="119">
        <f>ROUND((SUMIF(скв!AC$4:AC$12,$B308,скв!AJ$4:AJ$12))*_1!I$28,2)</f>
        <v>0</v>
      </c>
      <c r="L308"/>
      <c r="P308" s="124">
        <f t="shared" si="37"/>
        <v>0</v>
      </c>
      <c r="Q308" s="125"/>
      <c r="R308" s="125"/>
    </row>
    <row r="309" spans="1:19" s="103" customFormat="1" ht="15" customHeight="1" x14ac:dyDescent="0.45">
      <c r="A309" s="401"/>
      <c r="B309" s="213" t="str">
        <f>грунты!B$44</f>
        <v>мергель прочный</v>
      </c>
      <c r="D309" s="1" t="s">
        <v>120</v>
      </c>
      <c r="E309" s="334">
        <f t="shared" si="47"/>
        <v>0</v>
      </c>
      <c r="F309" s="334">
        <f t="shared" si="50"/>
        <v>0</v>
      </c>
      <c r="G309" s="103">
        <f>ROUND((SUMIF(скв!B$4:B$12,$B309,скв!I$4:I$12))*_1!E$28,2)</f>
        <v>0</v>
      </c>
      <c r="H309" s="103">
        <f>ROUND((SUMIF(скв!K$4:K$12,$B309,скв!R$4:R$12))*_1!F$28,2)</f>
        <v>0</v>
      </c>
      <c r="I309" s="334">
        <f t="shared" si="51"/>
        <v>0</v>
      </c>
      <c r="J309" s="103">
        <f>ROUND((SUMIF(скв!T$4:T$12,$B309,скв!AA$4:AA$12))*_1!H$28,2)</f>
        <v>0</v>
      </c>
      <c r="K309" s="119">
        <f>ROUND((SUMIF(скв!AC$4:AC$12,$B309,скв!AJ$4:AJ$12))*_1!I$28,2)</f>
        <v>0</v>
      </c>
      <c r="L309"/>
      <c r="P309" s="124">
        <f t="shared" si="37"/>
        <v>0</v>
      </c>
      <c r="Q309" s="125"/>
      <c r="R309" s="125"/>
    </row>
    <row r="310" spans="1:19" s="103" customFormat="1" ht="15" customHeight="1" x14ac:dyDescent="0.45">
      <c r="A310" s="401" t="s">
        <v>321</v>
      </c>
      <c r="B310" s="213" t="str">
        <f>грунты!B$31</f>
        <v xml:space="preserve">глина плотная, твердая с доломитами </v>
      </c>
      <c r="D310" s="1" t="s">
        <v>120</v>
      </c>
      <c r="E310" s="334">
        <f t="shared" si="47"/>
        <v>0</v>
      </c>
      <c r="F310" s="334">
        <f t="shared" si="50"/>
        <v>0</v>
      </c>
      <c r="G310" s="103">
        <f>ROUND((SUMIF(скв!B$4:B$12,$B310,скв!I$4:I$12))*_1!E$28,2)</f>
        <v>0</v>
      </c>
      <c r="H310" s="103">
        <f>ROUND((SUMIF(скв!K$4:K$12,$B310,скв!R$4:R$12))*_1!F$28,2)</f>
        <v>0</v>
      </c>
      <c r="I310" s="334">
        <f t="shared" si="51"/>
        <v>0</v>
      </c>
      <c r="J310" s="103">
        <f>ROUND((SUMIF(скв!T$4:T$12,$B310,скв!AA$4:AA$12))*_1!H$28,2)</f>
        <v>0</v>
      </c>
      <c r="K310" s="119">
        <f>ROUND((SUMIF(скв!AC$4:AC$12,$B310,скв!AJ$4:AJ$12))*_1!I$28,2)</f>
        <v>0</v>
      </c>
      <c r="L310"/>
      <c r="P310" s="124">
        <f t="shared" si="37"/>
        <v>0</v>
      </c>
      <c r="Q310" s="125"/>
      <c r="R310" s="125"/>
    </row>
    <row r="311" spans="1:19" s="103" customFormat="1" ht="15" customHeight="1" x14ac:dyDescent="0.45">
      <c r="A311" s="401"/>
      <c r="B311" s="213" t="str">
        <f>грунты!B$35</f>
        <v>галечник крупный с валунами</v>
      </c>
      <c r="D311" s="1" t="s">
        <v>120</v>
      </c>
      <c r="E311" s="334">
        <f t="shared" si="47"/>
        <v>0</v>
      </c>
      <c r="F311" s="334">
        <f t="shared" si="50"/>
        <v>0</v>
      </c>
      <c r="G311" s="103">
        <f>ROUND((SUMIF(скв!B$4:B$12,$B311,скв!I$4:I$12))*_1!E$28,2)</f>
        <v>0</v>
      </c>
      <c r="H311" s="103">
        <f>ROUND((SUMIF(скв!K$4:K$12,$B311,скв!R$4:R$12))*_1!F$28,2)</f>
        <v>0</v>
      </c>
      <c r="I311" s="334">
        <f t="shared" si="51"/>
        <v>0</v>
      </c>
      <c r="J311" s="103">
        <f>ROUND((SUMIF(скв!T$4:T$12,$B311,скв!AA$4:AA$12))*_1!H$28,2)</f>
        <v>0</v>
      </c>
      <c r="K311" s="119">
        <f>ROUND((SUMIF(скв!AC$4:AC$12,$B311,скв!AJ$4:AJ$12))*_1!I$28,2)</f>
        <v>0</v>
      </c>
      <c r="L311"/>
      <c r="P311" s="124">
        <f t="shared" si="37"/>
        <v>0</v>
      </c>
      <c r="Q311" s="125"/>
      <c r="R311" s="125"/>
    </row>
    <row r="312" spans="1:19" s="103" customFormat="1" ht="15" customHeight="1" x14ac:dyDescent="0.45">
      <c r="A312" s="401"/>
      <c r="B312" s="213" t="str">
        <f>грунты!B$39</f>
        <v>известняк средней прочности</v>
      </c>
      <c r="D312" s="1" t="s">
        <v>120</v>
      </c>
      <c r="E312" s="334">
        <f t="shared" si="47"/>
        <v>0</v>
      </c>
      <c r="F312" s="334">
        <f t="shared" si="50"/>
        <v>0</v>
      </c>
      <c r="G312" s="103">
        <f>ROUND((SUMIF(скв!B$4:B$12,$B312,скв!I$4:I$12))*_1!E$28,2)</f>
        <v>0</v>
      </c>
      <c r="H312" s="103">
        <f>ROUND((SUMIF(скв!K$4:K$12,$B312,скв!R$4:R$12))*_1!F$28,2)</f>
        <v>0</v>
      </c>
      <c r="I312" s="334">
        <f t="shared" si="51"/>
        <v>0</v>
      </c>
      <c r="J312" s="103">
        <f>ROUND((SUMIF(скв!T$4:T$12,$B312,скв!AA$4:AA$12))*_1!H$28,2)</f>
        <v>0</v>
      </c>
      <c r="K312" s="119">
        <f>ROUND((SUMIF(скв!AC$4:AC$12,$B312,скв!AJ$4:AJ$12))*_1!I$28,2)</f>
        <v>0</v>
      </c>
      <c r="L312"/>
      <c r="P312" s="124">
        <f t="shared" si="37"/>
        <v>0</v>
      </c>
      <c r="Q312" s="125"/>
      <c r="R312" s="125"/>
    </row>
    <row r="313" spans="1:19" s="103" customFormat="1" ht="15" customHeight="1" x14ac:dyDescent="0.45">
      <c r="A313" s="401" t="s">
        <v>322</v>
      </c>
      <c r="B313" s="213" t="str">
        <f>грунты!B$33</f>
        <v>бетон крепкий</v>
      </c>
      <c r="D313" s="1" t="s">
        <v>120</v>
      </c>
      <c r="E313" s="334">
        <f t="shared" si="47"/>
        <v>0</v>
      </c>
      <c r="F313" s="334">
        <f t="shared" si="50"/>
        <v>0</v>
      </c>
      <c r="G313" s="103">
        <f>ROUND((SUMIF(скв!B$4:B$12,$B313,скв!I$4:I$12))*_1!E$28,2)</f>
        <v>0</v>
      </c>
      <c r="H313" s="103">
        <f>ROUND((SUMIF(скв!K$4:K$12,$B313,скв!R$4:R$12))*_1!F$28,2)</f>
        <v>0</v>
      </c>
      <c r="I313" s="334">
        <f t="shared" si="51"/>
        <v>0</v>
      </c>
      <c r="J313" s="103">
        <f>ROUND((SUMIF(скв!T$4:T$12,$B313,скв!AA$4:AA$12))*_1!H$28,2)</f>
        <v>0</v>
      </c>
      <c r="K313" s="119">
        <f>ROUND((SUMIF(скв!AC$4:AC$12,$B313,скв!AJ$4:AJ$12))*_1!I$28,2)</f>
        <v>0</v>
      </c>
      <c r="L313"/>
      <c r="P313" s="124">
        <f t="shared" si="37"/>
        <v>0</v>
      </c>
      <c r="Q313" s="125"/>
      <c r="R313" s="125"/>
    </row>
    <row r="314" spans="1:19" s="103" customFormat="1" ht="15" customHeight="1" thickBot="1" x14ac:dyDescent="0.5">
      <c r="A314" s="402"/>
      <c r="B314" s="336" t="str">
        <f>грунты!B$40</f>
        <v>известняк окварцованный</v>
      </c>
      <c r="C314" s="134"/>
      <c r="D314" s="12" t="s">
        <v>120</v>
      </c>
      <c r="E314" s="337">
        <f t="shared" ref="E314:E377" si="52">SUMIF(F$7:L$7,"всего",F314:L314)</f>
        <v>0</v>
      </c>
      <c r="F314" s="337">
        <f t="shared" si="50"/>
        <v>0</v>
      </c>
      <c r="G314" s="134">
        <f>ROUND((SUMIF(скв!B$4:B$12,$B314,скв!I$4:I$12))*_1!E$28,2)</f>
        <v>0</v>
      </c>
      <c r="H314" s="134">
        <f>ROUND((SUMIF(скв!K$4:K$12,$B314,скв!R$4:R$12))*_1!F$28,2)</f>
        <v>0</v>
      </c>
      <c r="I314" s="337">
        <f t="shared" si="51"/>
        <v>0</v>
      </c>
      <c r="J314" s="134">
        <f>ROUND((SUMIF(скв!T$4:T$12,$B314,скв!AA$4:AA$12))*_1!H$28,2)</f>
        <v>0</v>
      </c>
      <c r="K314" s="221">
        <f>ROUND((SUMIF(скв!AC$4:AC$12,$B314,скв!AJ$4:AJ$12))*_1!I$28,2)</f>
        <v>0</v>
      </c>
      <c r="L314"/>
      <c r="P314" s="124">
        <f t="shared" si="37"/>
        <v>0</v>
      </c>
      <c r="Q314" s="125"/>
      <c r="R314" s="125"/>
      <c r="S314" s="122"/>
    </row>
    <row r="315" spans="1:19" s="103" customFormat="1" ht="15" customHeight="1" x14ac:dyDescent="0.45">
      <c r="A315" s="83" t="s">
        <v>26</v>
      </c>
      <c r="B315" s="169" t="s">
        <v>338</v>
      </c>
      <c r="C315" s="52" t="s">
        <v>145</v>
      </c>
      <c r="D315" s="260">
        <v>3</v>
      </c>
      <c r="E315" s="338" t="e">
        <f t="shared" ca="1" si="52"/>
        <v>#REF!</v>
      </c>
      <c r="F315" s="335">
        <f ca="1">G$249*G315+H$249*H315</f>
        <v>0</v>
      </c>
      <c r="G315" s="10">
        <f ca="1">IF(_1!E$27&gt;0,INDIRECT(ADDRESS(5,4,,,_1!E$23)),0)</f>
        <v>0</v>
      </c>
      <c r="H315" s="10">
        <f ca="1">IF(_1!F$27&gt;0,INDIRECT(ADDRESS(5,4,,,_1!F$23)),0)</f>
        <v>0</v>
      </c>
      <c r="I315" s="342" t="e">
        <f ca="1">J$249*J315+K$249*K315</f>
        <v>#REF!</v>
      </c>
      <c r="J315" s="343" t="e">
        <f ca="1">IF(_1!H$27&gt;0,INDIRECT(ADDRESS(5,4,,,_1!H$23)),0)</f>
        <v>#REF!</v>
      </c>
      <c r="K315" s="344" t="e">
        <f ca="1">IF(_1!I$27&gt;0,INDIRECT(ADDRESS(5,4,,,_1!I$23)),0)</f>
        <v>#REF!</v>
      </c>
      <c r="L315"/>
      <c r="M315" s="122"/>
      <c r="P315" s="124" t="e">
        <f t="shared" ca="1" si="37"/>
        <v>#REF!</v>
      </c>
      <c r="Q315" s="125"/>
      <c r="R315" s="125"/>
    </row>
    <row r="316" spans="1:19" s="103" customFormat="1" ht="15" customHeight="1" x14ac:dyDescent="0.45">
      <c r="A316" s="83" t="s">
        <v>26</v>
      </c>
      <c r="B316" s="169" t="s">
        <v>338</v>
      </c>
      <c r="C316" s="52" t="s">
        <v>145</v>
      </c>
      <c r="D316" s="260">
        <v>4</v>
      </c>
      <c r="E316" s="339" t="e">
        <f t="shared" ca="1" si="52"/>
        <v>#REF!</v>
      </c>
      <c r="F316" s="335">
        <f t="shared" ref="F316:F346" ca="1" si="53">G$249*G316+H$249*H316</f>
        <v>0</v>
      </c>
      <c r="G316" s="10">
        <f ca="1">IF(_1!E$27&gt;0,INDIRECT(ADDRESS(6,4,,,_1!E$23)),0)</f>
        <v>0</v>
      </c>
      <c r="H316" s="10">
        <f ca="1">IF(_1!F$27&gt;0,INDIRECT(ADDRESS(6,4,,,_1!F$23)),0)</f>
        <v>0</v>
      </c>
      <c r="I316" s="345" t="e">
        <f t="shared" ref="I316:I349" ca="1" si="54">J$249*J316+K$249*K316</f>
        <v>#REF!</v>
      </c>
      <c r="J316" s="10" t="e">
        <f ca="1">IF(_1!H$27&gt;0,INDIRECT(ADDRESS(6,4,,,_1!H$23)),0)</f>
        <v>#REF!</v>
      </c>
      <c r="K316" s="230" t="e">
        <f ca="1">IF(_1!I$27&gt;0,INDIRECT(ADDRESS(6,4,,,_1!I$23)),0)</f>
        <v>#REF!</v>
      </c>
      <c r="L316"/>
      <c r="P316" s="124" t="e">
        <f t="shared" ca="1" si="37"/>
        <v>#REF!</v>
      </c>
      <c r="Q316" s="125"/>
      <c r="R316" s="125"/>
    </row>
    <row r="317" spans="1:19" s="103" customFormat="1" ht="15" customHeight="1" x14ac:dyDescent="0.45">
      <c r="A317" s="83" t="s">
        <v>26</v>
      </c>
      <c r="B317" s="169" t="s">
        <v>338</v>
      </c>
      <c r="C317" s="52" t="s">
        <v>145</v>
      </c>
      <c r="D317" s="260">
        <v>5</v>
      </c>
      <c r="E317" s="339" t="e">
        <f t="shared" ca="1" si="52"/>
        <v>#REF!</v>
      </c>
      <c r="F317" s="335">
        <f t="shared" ca="1" si="53"/>
        <v>0</v>
      </c>
      <c r="G317" s="10">
        <f ca="1">IF(_1!E$27&gt;0,INDIRECT(ADDRESS(7,4,,,_1!E$23)),0)</f>
        <v>0</v>
      </c>
      <c r="H317" s="10">
        <f ca="1">IF(_1!F$27&gt;0,INDIRECT(ADDRESS(7,4,,,_1!F$23)),0)</f>
        <v>0</v>
      </c>
      <c r="I317" s="345" t="e">
        <f t="shared" ca="1" si="54"/>
        <v>#REF!</v>
      </c>
      <c r="J317" s="10" t="e">
        <f ca="1">IF(_1!H$27&gt;0,INDIRECT(ADDRESS(7,4,,,_1!H$23)),0)</f>
        <v>#REF!</v>
      </c>
      <c r="K317" s="230" t="e">
        <f ca="1">IF(_1!I$27&gt;0,INDIRECT(ADDRESS(7,4,,,_1!I$23)),0)</f>
        <v>#REF!</v>
      </c>
      <c r="L317"/>
      <c r="P317" s="124" t="e">
        <f t="shared" ca="1" si="37"/>
        <v>#REF!</v>
      </c>
      <c r="Q317" s="125"/>
      <c r="R317" s="125"/>
    </row>
    <row r="318" spans="1:19" s="103" customFormat="1" ht="15" customHeight="1" x14ac:dyDescent="0.45">
      <c r="A318" s="58" t="s">
        <v>26</v>
      </c>
      <c r="B318" s="168" t="s">
        <v>192</v>
      </c>
      <c r="C318" s="52" t="s">
        <v>145</v>
      </c>
      <c r="D318" s="261">
        <v>6</v>
      </c>
      <c r="E318" s="339" t="e">
        <f t="shared" ca="1" si="52"/>
        <v>#REF!</v>
      </c>
      <c r="F318" s="335">
        <f t="shared" ca="1" si="53"/>
        <v>0</v>
      </c>
      <c r="G318" s="10">
        <f ca="1">IF(_1!E$27&gt;0,INDIRECT(ADDRESS(8,3,,,_1!E$23)),0)</f>
        <v>0</v>
      </c>
      <c r="H318" s="10">
        <f ca="1">IF(_1!F$27&gt;0,INDIRECT(ADDRESS(8,3,,,_1!F$23)),0)</f>
        <v>0</v>
      </c>
      <c r="I318" s="345" t="e">
        <f t="shared" ca="1" si="54"/>
        <v>#REF!</v>
      </c>
      <c r="J318" s="10" t="e">
        <f ca="1">IF(_1!H$27&gt;0,INDIRECT(ADDRESS(8,3,,,_1!H$23)),0)</f>
        <v>#REF!</v>
      </c>
      <c r="K318" s="230" t="e">
        <f ca="1">IF(_1!I$27&gt;0,INDIRECT(ADDRESS(8,3,,,_1!I$23)),0)</f>
        <v>#REF!</v>
      </c>
      <c r="L318"/>
      <c r="P318" s="124" t="e">
        <f t="shared" ca="1" si="37"/>
        <v>#REF!</v>
      </c>
      <c r="Q318" s="125"/>
      <c r="R318" s="125"/>
    </row>
    <row r="319" spans="1:19" s="103" customFormat="1" ht="15" customHeight="1" x14ac:dyDescent="0.45">
      <c r="A319" s="58" t="s">
        <v>26</v>
      </c>
      <c r="B319" s="168" t="s">
        <v>192</v>
      </c>
      <c r="C319" s="52" t="s">
        <v>145</v>
      </c>
      <c r="D319" s="261">
        <v>8</v>
      </c>
      <c r="E319" s="339" t="e">
        <f t="shared" ca="1" si="52"/>
        <v>#REF!</v>
      </c>
      <c r="F319" s="335">
        <f t="shared" ca="1" si="53"/>
        <v>0</v>
      </c>
      <c r="G319" s="10">
        <f ca="1">IF(_1!E$27&gt;0,INDIRECT(ADDRESS(9,3,,,_1!E$23)),0)</f>
        <v>0</v>
      </c>
      <c r="H319" s="10">
        <f ca="1">IF(_1!F$27&gt;0,INDIRECT(ADDRESS(9,3,,,_1!F$23)),0)</f>
        <v>0</v>
      </c>
      <c r="I319" s="345" t="e">
        <f t="shared" ca="1" si="54"/>
        <v>#REF!</v>
      </c>
      <c r="J319" s="10" t="e">
        <f ca="1">IF(_1!H$27&gt;0,INDIRECT(ADDRESS(9,3,,,_1!H$23)),0)</f>
        <v>#REF!</v>
      </c>
      <c r="K319" s="230" t="e">
        <f ca="1">IF(_1!I$27&gt;0,INDIRECT(ADDRESS(9,3,,,_1!I$23)),0)</f>
        <v>#REF!</v>
      </c>
      <c r="L319"/>
      <c r="P319" s="124" t="e">
        <f t="shared" ca="1" si="37"/>
        <v>#REF!</v>
      </c>
      <c r="Q319" s="125"/>
      <c r="R319" s="125"/>
    </row>
    <row r="320" spans="1:19" s="103" customFormat="1" ht="15" customHeight="1" x14ac:dyDescent="0.45">
      <c r="A320" s="58" t="s">
        <v>26</v>
      </c>
      <c r="B320" s="168" t="s">
        <v>192</v>
      </c>
      <c r="C320" s="52" t="s">
        <v>145</v>
      </c>
      <c r="D320" s="261">
        <v>10</v>
      </c>
      <c r="E320" s="339" t="e">
        <f t="shared" ca="1" si="52"/>
        <v>#REF!</v>
      </c>
      <c r="F320" s="335">
        <f t="shared" ca="1" si="53"/>
        <v>0</v>
      </c>
      <c r="G320" s="10">
        <f ca="1">IF(_1!E$27&gt;0,INDIRECT(ADDRESS(10,3,,,_1!E$23)),0)</f>
        <v>0</v>
      </c>
      <c r="H320" s="10">
        <f ca="1">IF(_1!F$27&gt;0,INDIRECT(ADDRESS(10,3,,,_1!F$23)),0)</f>
        <v>0</v>
      </c>
      <c r="I320" s="345" t="e">
        <f t="shared" ca="1" si="54"/>
        <v>#REF!</v>
      </c>
      <c r="J320" s="10" t="e">
        <f ca="1">IF(_1!H$27&gt;0,INDIRECT(ADDRESS(10,3,,,_1!H$23)),0)</f>
        <v>#REF!</v>
      </c>
      <c r="K320" s="230" t="e">
        <f ca="1">IF(_1!I$27&gt;0,INDIRECT(ADDRESS(10,3,,,_1!I$23)),0)</f>
        <v>#REF!</v>
      </c>
      <c r="L320"/>
      <c r="P320" s="124" t="e">
        <f t="shared" ca="1" si="37"/>
        <v>#REF!</v>
      </c>
      <c r="Q320" s="125"/>
      <c r="R320" s="125"/>
    </row>
    <row r="321" spans="1:18" s="103" customFormat="1" ht="15" customHeight="1" x14ac:dyDescent="0.45">
      <c r="A321" s="58" t="s">
        <v>26</v>
      </c>
      <c r="B321" s="168" t="s">
        <v>192</v>
      </c>
      <c r="C321" s="52" t="s">
        <v>145</v>
      </c>
      <c r="D321" s="261">
        <v>12</v>
      </c>
      <c r="E321" s="339" t="e">
        <f t="shared" ca="1" si="52"/>
        <v>#REF!</v>
      </c>
      <c r="F321" s="335">
        <f t="shared" ca="1" si="53"/>
        <v>0</v>
      </c>
      <c r="G321" s="10">
        <f ca="1">IF(_1!E$27&gt;0,INDIRECT(ADDRESS(11,3,,,_1!E$23)),0)</f>
        <v>0</v>
      </c>
      <c r="H321" s="10">
        <f ca="1">IF(_1!F$27&gt;0,INDIRECT(ADDRESS(11,3,,,_1!F$23)),0)</f>
        <v>0</v>
      </c>
      <c r="I321" s="345" t="e">
        <f t="shared" ca="1" si="54"/>
        <v>#REF!</v>
      </c>
      <c r="J321" s="10" t="e">
        <f ca="1">IF(_1!H$27&gt;0,INDIRECT(ADDRESS(11,3,,,_1!H$23)),0)</f>
        <v>#REF!</v>
      </c>
      <c r="K321" s="230" t="e">
        <f ca="1">IF(_1!I$27&gt;0,INDIRECT(ADDRESS(11,3,,,_1!I$23)),0)</f>
        <v>#REF!</v>
      </c>
      <c r="L321"/>
      <c r="P321" s="124" t="e">
        <f t="shared" ca="1" si="37"/>
        <v>#REF!</v>
      </c>
      <c r="Q321" s="125"/>
      <c r="R321" s="125"/>
    </row>
    <row r="322" spans="1:18" s="103" customFormat="1" ht="15" customHeight="1" x14ac:dyDescent="0.45">
      <c r="A322" s="58" t="s">
        <v>26</v>
      </c>
      <c r="B322" s="168" t="s">
        <v>192</v>
      </c>
      <c r="C322" s="52" t="s">
        <v>145</v>
      </c>
      <c r="D322" s="261">
        <v>14</v>
      </c>
      <c r="E322" s="339" t="e">
        <f t="shared" ca="1" si="52"/>
        <v>#REF!</v>
      </c>
      <c r="F322" s="335">
        <f t="shared" ca="1" si="53"/>
        <v>0</v>
      </c>
      <c r="G322" s="10">
        <f ca="1">IF(_1!E$27&gt;0,INDIRECT(ADDRESS(12,3,,,_1!E$23)),0)</f>
        <v>0</v>
      </c>
      <c r="H322" s="10">
        <f ca="1">IF(_1!F$27&gt;0,INDIRECT(ADDRESS(12,3,,,_1!F$23)),0)</f>
        <v>0</v>
      </c>
      <c r="I322" s="345" t="e">
        <f t="shared" ca="1" si="54"/>
        <v>#REF!</v>
      </c>
      <c r="J322" s="10" t="e">
        <f ca="1">IF(_1!H$27&gt;0,INDIRECT(ADDRESS(12,3,,,_1!H$23)),0)</f>
        <v>#REF!</v>
      </c>
      <c r="K322" s="230" t="e">
        <f ca="1">IF(_1!I$27&gt;0,INDIRECT(ADDRESS(12,3,,,_1!I$23)),0)</f>
        <v>#REF!</v>
      </c>
      <c r="L322"/>
      <c r="P322" s="124" t="e">
        <f t="shared" ca="1" si="37"/>
        <v>#REF!</v>
      </c>
      <c r="Q322" s="125"/>
      <c r="R322" s="125"/>
    </row>
    <row r="323" spans="1:18" s="103" customFormat="1" ht="15" customHeight="1" x14ac:dyDescent="0.45">
      <c r="A323" s="58" t="s">
        <v>26</v>
      </c>
      <c r="B323" s="168" t="s">
        <v>192</v>
      </c>
      <c r="C323" s="52" t="s">
        <v>145</v>
      </c>
      <c r="D323" s="261">
        <v>16</v>
      </c>
      <c r="E323" s="339" t="e">
        <f t="shared" ca="1" si="52"/>
        <v>#REF!</v>
      </c>
      <c r="F323" s="335">
        <f t="shared" ca="1" si="53"/>
        <v>0</v>
      </c>
      <c r="G323" s="10">
        <f ca="1">IF(_1!E$27&gt;0,INDIRECT(ADDRESS(13,3,,,_1!E$23)),0)</f>
        <v>0</v>
      </c>
      <c r="H323" s="10">
        <f ca="1">IF(_1!F$27&gt;0,INDIRECT(ADDRESS(13,3,,,_1!F$23)),0)</f>
        <v>0</v>
      </c>
      <c r="I323" s="345" t="e">
        <f t="shared" ca="1" si="54"/>
        <v>#REF!</v>
      </c>
      <c r="J323" s="10" t="e">
        <f ca="1">IF(_1!H$27&gt;0,INDIRECT(ADDRESS(13,3,,,_1!H$23)),0)</f>
        <v>#REF!</v>
      </c>
      <c r="K323" s="230" t="e">
        <f ca="1">IF(_1!I$27&gt;0,INDIRECT(ADDRESS(13,3,,,_1!I$23)),0)</f>
        <v>#REF!</v>
      </c>
      <c r="L323"/>
      <c r="P323" s="124" t="e">
        <f t="shared" ca="1" si="37"/>
        <v>#REF!</v>
      </c>
      <c r="Q323" s="125"/>
      <c r="R323" s="125"/>
    </row>
    <row r="324" spans="1:18" s="103" customFormat="1" ht="15" customHeight="1" x14ac:dyDescent="0.45">
      <c r="A324" s="58" t="s">
        <v>26</v>
      </c>
      <c r="B324" s="168" t="s">
        <v>192</v>
      </c>
      <c r="C324" s="52" t="s">
        <v>145</v>
      </c>
      <c r="D324" s="261">
        <v>18</v>
      </c>
      <c r="E324" s="339" t="e">
        <f t="shared" ca="1" si="52"/>
        <v>#REF!</v>
      </c>
      <c r="F324" s="335">
        <f t="shared" ca="1" si="53"/>
        <v>0</v>
      </c>
      <c r="G324" s="10">
        <f ca="1">IF(_1!E$27&gt;0,INDIRECT(ADDRESS(14,3,,,_1!E$23)),0)</f>
        <v>0</v>
      </c>
      <c r="H324" s="10">
        <f ca="1">IF(_1!F$27&gt;0,INDIRECT(ADDRESS(14,3,,,_1!F$23)),0)</f>
        <v>0</v>
      </c>
      <c r="I324" s="345" t="e">
        <f t="shared" ca="1" si="54"/>
        <v>#REF!</v>
      </c>
      <c r="J324" s="10" t="e">
        <f ca="1">IF(_1!H$27&gt;0,INDIRECT(ADDRESS(14,3,,,_1!H$23)),0)</f>
        <v>#REF!</v>
      </c>
      <c r="K324" s="230" t="e">
        <f ca="1">IF(_1!I$27&gt;0,INDIRECT(ADDRESS(14,3,,,_1!I$23)),0)</f>
        <v>#REF!</v>
      </c>
      <c r="L324"/>
      <c r="P324" s="124" t="e">
        <f t="shared" ca="1" si="37"/>
        <v>#REF!</v>
      </c>
      <c r="Q324" s="125"/>
      <c r="R324" s="125"/>
    </row>
    <row r="325" spans="1:18" s="103" customFormat="1" ht="15" customHeight="1" x14ac:dyDescent="0.45">
      <c r="A325" s="58" t="s">
        <v>26</v>
      </c>
      <c r="B325" s="168" t="s">
        <v>192</v>
      </c>
      <c r="C325" s="52" t="s">
        <v>145</v>
      </c>
      <c r="D325" s="261">
        <v>20</v>
      </c>
      <c r="E325" s="339" t="e">
        <f t="shared" ca="1" si="52"/>
        <v>#REF!</v>
      </c>
      <c r="F325" s="335">
        <f t="shared" ca="1" si="53"/>
        <v>0</v>
      </c>
      <c r="G325" s="10">
        <f ca="1">IF(_1!E$27&gt;0,INDIRECT(ADDRESS(15,3,,,_1!E$23)),0)</f>
        <v>0</v>
      </c>
      <c r="H325" s="10">
        <f ca="1">IF(_1!F$27&gt;0,INDIRECT(ADDRESS(15,3,,,_1!F$23)),0)</f>
        <v>0</v>
      </c>
      <c r="I325" s="345" t="e">
        <f t="shared" ca="1" si="54"/>
        <v>#REF!</v>
      </c>
      <c r="J325" s="10" t="e">
        <f ca="1">IF(_1!H$27&gt;0,INDIRECT(ADDRESS(15,3,,,_1!H$23)),0)</f>
        <v>#REF!</v>
      </c>
      <c r="K325" s="230" t="e">
        <f ca="1">IF(_1!I$27&gt;0,INDIRECT(ADDRESS(15,3,,,_1!I$23)),0)</f>
        <v>#REF!</v>
      </c>
      <c r="L325"/>
      <c r="P325" s="124" t="e">
        <f t="shared" ca="1" si="37"/>
        <v>#REF!</v>
      </c>
      <c r="Q325" s="125"/>
      <c r="R325" s="125"/>
    </row>
    <row r="326" spans="1:18" s="103" customFormat="1" ht="15" customHeight="1" x14ac:dyDescent="0.45">
      <c r="A326" s="58" t="s">
        <v>26</v>
      </c>
      <c r="B326" s="168" t="s">
        <v>192</v>
      </c>
      <c r="C326" s="52" t="s">
        <v>145</v>
      </c>
      <c r="D326" s="261">
        <v>22</v>
      </c>
      <c r="E326" s="339" t="e">
        <f t="shared" ca="1" si="52"/>
        <v>#REF!</v>
      </c>
      <c r="F326" s="335">
        <f t="shared" ca="1" si="53"/>
        <v>0</v>
      </c>
      <c r="G326" s="10">
        <f ca="1">IF(_1!E$27&gt;0,INDIRECT(ADDRESS(16,3,,,_1!E$23)),0)</f>
        <v>0</v>
      </c>
      <c r="H326" s="10">
        <f ca="1">IF(_1!F$27&gt;0,INDIRECT(ADDRESS(16,3,,,_1!F$23)),0)</f>
        <v>0</v>
      </c>
      <c r="I326" s="345" t="e">
        <f t="shared" ca="1" si="54"/>
        <v>#REF!</v>
      </c>
      <c r="J326" s="10" t="e">
        <f ca="1">IF(_1!H$27&gt;0,INDIRECT(ADDRESS(16,3,,,_1!H$23)),0)</f>
        <v>#REF!</v>
      </c>
      <c r="K326" s="230" t="e">
        <f ca="1">IF(_1!I$27&gt;0,INDIRECT(ADDRESS(16,3,,,_1!I$23)),0)</f>
        <v>#REF!</v>
      </c>
      <c r="L326"/>
      <c r="P326" s="124" t="e">
        <f t="shared" ca="1" si="37"/>
        <v>#REF!</v>
      </c>
      <c r="Q326" s="125"/>
      <c r="R326" s="125"/>
    </row>
    <row r="327" spans="1:18" s="103" customFormat="1" ht="15" customHeight="1" x14ac:dyDescent="0.45">
      <c r="A327" s="58" t="s">
        <v>26</v>
      </c>
      <c r="B327" s="168" t="s">
        <v>192</v>
      </c>
      <c r="C327" s="52" t="s">
        <v>145</v>
      </c>
      <c r="D327" s="261">
        <v>25</v>
      </c>
      <c r="E327" s="339" t="e">
        <f t="shared" ca="1" si="52"/>
        <v>#REF!</v>
      </c>
      <c r="F327" s="335">
        <f t="shared" ca="1" si="53"/>
        <v>0</v>
      </c>
      <c r="G327" s="10">
        <f ca="1">IF(_1!E$27&gt;0,INDIRECT(ADDRESS(17,3,,,_1!E$23)),0)</f>
        <v>0</v>
      </c>
      <c r="H327" s="10">
        <f ca="1">IF(_1!F$27&gt;0,INDIRECT(ADDRESS(17,3,,,_1!F$23)),0)</f>
        <v>0</v>
      </c>
      <c r="I327" s="345" t="e">
        <f t="shared" ca="1" si="54"/>
        <v>#REF!</v>
      </c>
      <c r="J327" s="10" t="e">
        <f ca="1">IF(_1!H$27&gt;0,INDIRECT(ADDRESS(17,3,,,_1!H$23)),0)</f>
        <v>#REF!</v>
      </c>
      <c r="K327" s="230" t="e">
        <f ca="1">IF(_1!I$27&gt;0,INDIRECT(ADDRESS(17,3,,,_1!I$23)),0)</f>
        <v>#REF!</v>
      </c>
      <c r="L327"/>
      <c r="P327" s="124" t="e">
        <f t="shared" ca="1" si="37"/>
        <v>#REF!</v>
      </c>
      <c r="Q327" s="125"/>
      <c r="R327" s="125"/>
    </row>
    <row r="328" spans="1:18" s="103" customFormat="1" ht="15" customHeight="1" x14ac:dyDescent="0.45">
      <c r="A328" s="58" t="s">
        <v>26</v>
      </c>
      <c r="B328" s="168" t="s">
        <v>192</v>
      </c>
      <c r="C328" s="52" t="s">
        <v>145</v>
      </c>
      <c r="D328" s="261">
        <v>28</v>
      </c>
      <c r="E328" s="339" t="e">
        <f t="shared" ca="1" si="52"/>
        <v>#REF!</v>
      </c>
      <c r="F328" s="335">
        <f t="shared" ca="1" si="53"/>
        <v>0</v>
      </c>
      <c r="G328" s="10">
        <f ca="1">IF(_1!E$27&gt;0,INDIRECT(ADDRESS(18,3,,,_1!E$23)),0)</f>
        <v>0</v>
      </c>
      <c r="H328" s="10">
        <f ca="1">IF(_1!F$27&gt;0,INDIRECT(ADDRESS(18,3,,,_1!F$23)),0)</f>
        <v>0</v>
      </c>
      <c r="I328" s="345" t="e">
        <f t="shared" ca="1" si="54"/>
        <v>#REF!</v>
      </c>
      <c r="J328" s="10" t="e">
        <f ca="1">IF(_1!H$27&gt;0,INDIRECT(ADDRESS(18,3,,,_1!H$23)),0)</f>
        <v>#REF!</v>
      </c>
      <c r="K328" s="230" t="e">
        <f ca="1">IF(_1!I$27&gt;0,INDIRECT(ADDRESS(18,3,,,_1!I$23)),0)</f>
        <v>#REF!</v>
      </c>
      <c r="L328"/>
      <c r="P328" s="124" t="e">
        <f t="shared" ca="1" si="37"/>
        <v>#REF!</v>
      </c>
      <c r="Q328" s="125"/>
      <c r="R328" s="125"/>
    </row>
    <row r="329" spans="1:18" s="103" customFormat="1" ht="15" customHeight="1" x14ac:dyDescent="0.45">
      <c r="A329" s="58" t="s">
        <v>26</v>
      </c>
      <c r="B329" s="168" t="s">
        <v>192</v>
      </c>
      <c r="C329" s="52" t="s">
        <v>145</v>
      </c>
      <c r="D329" s="261">
        <v>32</v>
      </c>
      <c r="E329" s="339" t="e">
        <f t="shared" ca="1" si="52"/>
        <v>#REF!</v>
      </c>
      <c r="F329" s="335">
        <f t="shared" ca="1" si="53"/>
        <v>0</v>
      </c>
      <c r="G329" s="10">
        <f ca="1">IF(_1!E$27&gt;0,INDIRECT(ADDRESS(19,3,,,_1!E$23)),0)</f>
        <v>0</v>
      </c>
      <c r="H329" s="10">
        <f ca="1">IF(_1!F$27&gt;0,INDIRECT(ADDRESS(19,3,,,_1!F$23)),0)</f>
        <v>0</v>
      </c>
      <c r="I329" s="345" t="e">
        <f t="shared" ca="1" si="54"/>
        <v>#REF!</v>
      </c>
      <c r="J329" s="10" t="e">
        <f ca="1">IF(_1!H$27&gt;0,INDIRECT(ADDRESS(19,3,,,_1!H$23)),0)</f>
        <v>#REF!</v>
      </c>
      <c r="K329" s="230" t="e">
        <f ca="1">IF(_1!I$27&gt;0,INDIRECT(ADDRESS(19,3,,,_1!I$23)),0)</f>
        <v>#REF!</v>
      </c>
      <c r="L329"/>
      <c r="P329" s="124" t="e">
        <f t="shared" ca="1" si="37"/>
        <v>#REF!</v>
      </c>
      <c r="Q329" s="125"/>
      <c r="R329" s="125"/>
    </row>
    <row r="330" spans="1:18" s="103" customFormat="1" ht="15" customHeight="1" x14ac:dyDescent="0.45">
      <c r="A330" s="58" t="s">
        <v>26</v>
      </c>
      <c r="B330" s="168" t="s">
        <v>192</v>
      </c>
      <c r="C330" s="52" t="s">
        <v>145</v>
      </c>
      <c r="D330" s="261">
        <v>36</v>
      </c>
      <c r="E330" s="339" t="e">
        <f t="shared" ca="1" si="52"/>
        <v>#REF!</v>
      </c>
      <c r="F330" s="335">
        <f t="shared" ca="1" si="53"/>
        <v>0</v>
      </c>
      <c r="G330" s="10">
        <f ca="1">IF(_1!E$27&gt;0,INDIRECT(ADDRESS(20,3,,,_1!E$23)),0)</f>
        <v>0</v>
      </c>
      <c r="H330" s="10">
        <f ca="1">IF(_1!F$27&gt;0,INDIRECT(ADDRESS(20,3,,,_1!F$23)),0)</f>
        <v>0</v>
      </c>
      <c r="I330" s="345" t="e">
        <f t="shared" ca="1" si="54"/>
        <v>#REF!</v>
      </c>
      <c r="J330" s="10" t="e">
        <f ca="1">IF(_1!H$27&gt;0,INDIRECT(ADDRESS(20,3,,,_1!H$23)),0)</f>
        <v>#REF!</v>
      </c>
      <c r="K330" s="230" t="e">
        <f ca="1">IF(_1!I$27&gt;0,INDIRECT(ADDRESS(20,3,,,_1!I$23)),0)</f>
        <v>#REF!</v>
      </c>
      <c r="L330"/>
      <c r="P330" s="124" t="e">
        <f t="shared" ca="1" si="37"/>
        <v>#REF!</v>
      </c>
      <c r="Q330" s="125"/>
      <c r="R330" s="125"/>
    </row>
    <row r="331" spans="1:18" s="103" customFormat="1" ht="15" customHeight="1" x14ac:dyDescent="0.45">
      <c r="A331" s="58" t="s">
        <v>26</v>
      </c>
      <c r="B331" s="168" t="s">
        <v>192</v>
      </c>
      <c r="C331" s="52" t="s">
        <v>145</v>
      </c>
      <c r="D331" s="261">
        <v>40</v>
      </c>
      <c r="E331" s="339" t="e">
        <f t="shared" ca="1" si="52"/>
        <v>#REF!</v>
      </c>
      <c r="F331" s="335">
        <f t="shared" ca="1" si="53"/>
        <v>0</v>
      </c>
      <c r="G331" s="10">
        <f ca="1">IF(_1!E$27&gt;0,INDIRECT(ADDRESS(21,3,,,_1!E$23)),0)</f>
        <v>0</v>
      </c>
      <c r="H331" s="10">
        <f ca="1">IF(_1!F$27&gt;0,INDIRECT(ADDRESS(21,3,,,_1!F$23)),0)</f>
        <v>0</v>
      </c>
      <c r="I331" s="345" t="e">
        <f t="shared" ca="1" si="54"/>
        <v>#REF!</v>
      </c>
      <c r="J331" s="10" t="e">
        <f ca="1">IF(_1!H$27&gt;0,INDIRECT(ADDRESS(21,3,,,_1!H$23)),0)</f>
        <v>#REF!</v>
      </c>
      <c r="K331" s="230" t="e">
        <f ca="1">IF(_1!I$27&gt;0,INDIRECT(ADDRESS(21,3,,,_1!I$23)),0)</f>
        <v>#REF!</v>
      </c>
      <c r="L331"/>
      <c r="P331" s="124" t="e">
        <f t="shared" ca="1" si="37"/>
        <v>#REF!</v>
      </c>
      <c r="Q331" s="125"/>
      <c r="R331" s="125"/>
    </row>
    <row r="332" spans="1:18" s="103" customFormat="1" ht="15" customHeight="1" x14ac:dyDescent="0.45">
      <c r="A332" s="58" t="s">
        <v>26</v>
      </c>
      <c r="B332" s="170" t="s">
        <v>193</v>
      </c>
      <c r="C332" s="52" t="s">
        <v>145</v>
      </c>
      <c r="D332" s="261">
        <v>6</v>
      </c>
      <c r="E332" s="339" t="e">
        <f t="shared" ca="1" si="52"/>
        <v>#REF!</v>
      </c>
      <c r="F332" s="335">
        <f t="shared" ca="1" si="53"/>
        <v>0</v>
      </c>
      <c r="G332" s="10">
        <f ca="1">IF(_1!E$27&gt;0,INDIRECT(ADDRESS(8,2,,,_1!E$23)),0)</f>
        <v>0</v>
      </c>
      <c r="H332" s="10">
        <f ca="1">IF(_1!F$27&gt;0,INDIRECT(ADDRESS(8,2,,,_1!F$23)),0)</f>
        <v>0</v>
      </c>
      <c r="I332" s="345" t="e">
        <f t="shared" ca="1" si="54"/>
        <v>#REF!</v>
      </c>
      <c r="J332" s="10" t="e">
        <f ca="1">IF(_1!H$27&gt;0,INDIRECT(ADDRESS(8,2,,,_1!H$23)),0)</f>
        <v>#REF!</v>
      </c>
      <c r="K332" s="230" t="e">
        <f ca="1">IF(_1!I$27&gt;0,INDIRECT(ADDRESS(8,2,,,_1!I$23)),0)</f>
        <v>#REF!</v>
      </c>
      <c r="L332"/>
      <c r="P332" s="124" t="e">
        <f t="shared" ca="1" si="37"/>
        <v>#REF!</v>
      </c>
      <c r="Q332" s="125"/>
      <c r="R332" s="125"/>
    </row>
    <row r="333" spans="1:18" s="103" customFormat="1" ht="15" customHeight="1" x14ac:dyDescent="0.45">
      <c r="A333" s="58" t="s">
        <v>26</v>
      </c>
      <c r="B333" s="170" t="s">
        <v>193</v>
      </c>
      <c r="C333" s="52" t="s">
        <v>145</v>
      </c>
      <c r="D333" s="261">
        <v>8</v>
      </c>
      <c r="E333" s="339" t="e">
        <f t="shared" ca="1" si="52"/>
        <v>#REF!</v>
      </c>
      <c r="F333" s="335">
        <f t="shared" ca="1" si="53"/>
        <v>0</v>
      </c>
      <c r="G333" s="10">
        <f ca="1">IF(_1!E$27&gt;0,INDIRECT(ADDRESS(9,2,,,_1!E$23)),0)</f>
        <v>0</v>
      </c>
      <c r="H333" s="10">
        <f ca="1">IF(_1!F$27&gt;0,INDIRECT(ADDRESS(9,2,,,_1!F$23)),0)</f>
        <v>0</v>
      </c>
      <c r="I333" s="345" t="e">
        <f t="shared" ca="1" si="54"/>
        <v>#REF!</v>
      </c>
      <c r="J333" s="10" t="e">
        <f ca="1">IF(_1!H$27&gt;0,INDIRECT(ADDRESS(9,2,,,_1!H$23)),0)</f>
        <v>#REF!</v>
      </c>
      <c r="K333" s="230" t="e">
        <f ca="1">IF(_1!I$27&gt;0,INDIRECT(ADDRESS(9,2,,,_1!I$23)),0)</f>
        <v>#REF!</v>
      </c>
      <c r="L333"/>
      <c r="P333" s="124" t="e">
        <f t="shared" ca="1" si="37"/>
        <v>#REF!</v>
      </c>
      <c r="Q333" s="125"/>
      <c r="R333" s="125"/>
    </row>
    <row r="334" spans="1:18" s="103" customFormat="1" ht="15" customHeight="1" x14ac:dyDescent="0.45">
      <c r="A334" s="58" t="s">
        <v>26</v>
      </c>
      <c r="B334" s="170" t="s">
        <v>193</v>
      </c>
      <c r="C334" s="52" t="s">
        <v>145</v>
      </c>
      <c r="D334" s="261">
        <v>10</v>
      </c>
      <c r="E334" s="339" t="e">
        <f t="shared" ca="1" si="52"/>
        <v>#REF!</v>
      </c>
      <c r="F334" s="335">
        <f t="shared" ca="1" si="53"/>
        <v>0</v>
      </c>
      <c r="G334" s="10">
        <f ca="1">IF(_1!E$27&gt;0,INDIRECT(ADDRESS(10,2,,,_1!E$23)),0)</f>
        <v>0</v>
      </c>
      <c r="H334" s="10">
        <f ca="1">IF(_1!F$27&gt;0,INDIRECT(ADDRESS(10,2,,,_1!F$23)),0)</f>
        <v>0</v>
      </c>
      <c r="I334" s="345" t="e">
        <f t="shared" ca="1" si="54"/>
        <v>#REF!</v>
      </c>
      <c r="J334" s="10" t="e">
        <f ca="1">IF(_1!H$27&gt;0,INDIRECT(ADDRESS(10,2,,,_1!H$23)),0)</f>
        <v>#REF!</v>
      </c>
      <c r="K334" s="230" t="e">
        <f ca="1">IF(_1!I$27&gt;0,INDIRECT(ADDRESS(10,2,,,_1!I$23)),0)</f>
        <v>#REF!</v>
      </c>
      <c r="L334"/>
      <c r="P334" s="124" t="e">
        <f t="shared" ca="1" si="37"/>
        <v>#REF!</v>
      </c>
      <c r="Q334" s="125"/>
      <c r="R334" s="125"/>
    </row>
    <row r="335" spans="1:18" s="103" customFormat="1" ht="15" customHeight="1" x14ac:dyDescent="0.45">
      <c r="A335" s="58" t="s">
        <v>26</v>
      </c>
      <c r="B335" s="170" t="s">
        <v>193</v>
      </c>
      <c r="C335" s="52" t="s">
        <v>145</v>
      </c>
      <c r="D335" s="261">
        <v>12</v>
      </c>
      <c r="E335" s="339" t="e">
        <f t="shared" ca="1" si="52"/>
        <v>#REF!</v>
      </c>
      <c r="F335" s="335">
        <f t="shared" ca="1" si="53"/>
        <v>0</v>
      </c>
      <c r="G335" s="10">
        <f ca="1">IF(_1!E$27&gt;0,INDIRECT(ADDRESS(11,2,,,_1!E$23)),0)</f>
        <v>0</v>
      </c>
      <c r="H335" s="10">
        <f ca="1">IF(_1!F$27&gt;0,INDIRECT(ADDRESS(11,2,,,_1!F$23)),0)</f>
        <v>0</v>
      </c>
      <c r="I335" s="345" t="e">
        <f t="shared" ca="1" si="54"/>
        <v>#REF!</v>
      </c>
      <c r="J335" s="10" t="e">
        <f ca="1">IF(_1!H$27&gt;0,INDIRECT(ADDRESS(11,2,,,_1!H$23)),0)</f>
        <v>#REF!</v>
      </c>
      <c r="K335" s="230" t="e">
        <f ca="1">IF(_1!I$27&gt;0,INDIRECT(ADDRESS(11,2,,,_1!I$23)),0)</f>
        <v>#REF!</v>
      </c>
      <c r="L335"/>
      <c r="P335" s="124" t="e">
        <f t="shared" ca="1" si="37"/>
        <v>#REF!</v>
      </c>
      <c r="Q335" s="125"/>
      <c r="R335" s="125"/>
    </row>
    <row r="336" spans="1:18" s="103" customFormat="1" ht="15" customHeight="1" x14ac:dyDescent="0.45">
      <c r="A336" s="58" t="s">
        <v>26</v>
      </c>
      <c r="B336" s="170" t="s">
        <v>193</v>
      </c>
      <c r="C336" s="52" t="s">
        <v>145</v>
      </c>
      <c r="D336" s="261">
        <v>14</v>
      </c>
      <c r="E336" s="339" t="e">
        <f t="shared" ca="1" si="52"/>
        <v>#REF!</v>
      </c>
      <c r="F336" s="335">
        <f t="shared" ca="1" si="53"/>
        <v>0</v>
      </c>
      <c r="G336" s="10">
        <f ca="1">IF(_1!E$27&gt;0,INDIRECT(ADDRESS(12,2,,,_1!E$23)),0)</f>
        <v>0</v>
      </c>
      <c r="H336" s="10">
        <f ca="1">IF(_1!F$27&gt;0,INDIRECT(ADDRESS(12,2,,,_1!F$23)),0)</f>
        <v>0</v>
      </c>
      <c r="I336" s="345" t="e">
        <f t="shared" ca="1" si="54"/>
        <v>#REF!</v>
      </c>
      <c r="J336" s="10" t="e">
        <f ca="1">IF(_1!H$27&gt;0,INDIRECT(ADDRESS(12,2,,,_1!H$23)),0)</f>
        <v>#REF!</v>
      </c>
      <c r="K336" s="230" t="e">
        <f ca="1">IF(_1!I$27&gt;0,INDIRECT(ADDRESS(12,2,,,_1!I$23)),0)</f>
        <v>#REF!</v>
      </c>
      <c r="L336"/>
      <c r="P336" s="124" t="e">
        <f t="shared" ca="1" si="37"/>
        <v>#REF!</v>
      </c>
      <c r="Q336" s="125"/>
      <c r="R336" s="125"/>
    </row>
    <row r="337" spans="1:18" s="103" customFormat="1" ht="15" customHeight="1" x14ac:dyDescent="0.45">
      <c r="A337" s="58" t="s">
        <v>26</v>
      </c>
      <c r="B337" s="170" t="s">
        <v>193</v>
      </c>
      <c r="C337" s="52" t="s">
        <v>145</v>
      </c>
      <c r="D337" s="261">
        <v>16</v>
      </c>
      <c r="E337" s="339" t="e">
        <f t="shared" ca="1" si="52"/>
        <v>#REF!</v>
      </c>
      <c r="F337" s="335">
        <f t="shared" ca="1" si="53"/>
        <v>0</v>
      </c>
      <c r="G337" s="10">
        <f ca="1">IF(_1!E$27&gt;0,INDIRECT(ADDRESS(13,2,,,_1!E$23)),0)</f>
        <v>0</v>
      </c>
      <c r="H337" s="10">
        <f ca="1">IF(_1!F$27&gt;0,INDIRECT(ADDRESS(13,2,,,_1!F$23)),0)</f>
        <v>0</v>
      </c>
      <c r="I337" s="345" t="e">
        <f t="shared" ca="1" si="54"/>
        <v>#REF!</v>
      </c>
      <c r="J337" s="10" t="e">
        <f ca="1">IF(_1!H$27&gt;0,INDIRECT(ADDRESS(13,2,,,_1!H$23)),0)</f>
        <v>#REF!</v>
      </c>
      <c r="K337" s="230" t="e">
        <f ca="1">IF(_1!I$27&gt;0,INDIRECT(ADDRESS(13,2,,,_1!I$23)),0)</f>
        <v>#REF!</v>
      </c>
      <c r="L337"/>
      <c r="P337" s="124" t="e">
        <f t="shared" ca="1" si="37"/>
        <v>#REF!</v>
      </c>
      <c r="Q337" s="125"/>
      <c r="R337" s="125"/>
    </row>
    <row r="338" spans="1:18" s="103" customFormat="1" ht="15" customHeight="1" x14ac:dyDescent="0.45">
      <c r="A338" s="58" t="s">
        <v>26</v>
      </c>
      <c r="B338" s="170" t="s">
        <v>193</v>
      </c>
      <c r="C338" s="52" t="s">
        <v>145</v>
      </c>
      <c r="D338" s="261">
        <v>18</v>
      </c>
      <c r="E338" s="339" t="e">
        <f t="shared" ca="1" si="52"/>
        <v>#REF!</v>
      </c>
      <c r="F338" s="335">
        <f t="shared" ca="1" si="53"/>
        <v>0</v>
      </c>
      <c r="G338" s="10">
        <f ca="1">IF(_1!E$27&gt;0,INDIRECT(ADDRESS(14,2,,,_1!E$23)),0)</f>
        <v>0</v>
      </c>
      <c r="H338" s="10">
        <f ca="1">IF(_1!F$27&gt;0,INDIRECT(ADDRESS(14,2,,,_1!F$23)),0)</f>
        <v>0</v>
      </c>
      <c r="I338" s="345" t="e">
        <f t="shared" ca="1" si="54"/>
        <v>#REF!</v>
      </c>
      <c r="J338" s="10" t="e">
        <f ca="1">IF(_1!H$27&gt;0,INDIRECT(ADDRESS(14,2,,,_1!H$23)),0)</f>
        <v>#REF!</v>
      </c>
      <c r="K338" s="230" t="e">
        <f ca="1">IF(_1!I$27&gt;0,INDIRECT(ADDRESS(14,2,,,_1!I$23)),0)</f>
        <v>#REF!</v>
      </c>
      <c r="L338"/>
      <c r="P338" s="124" t="e">
        <f t="shared" ca="1" si="37"/>
        <v>#REF!</v>
      </c>
      <c r="Q338" s="125"/>
      <c r="R338" s="125"/>
    </row>
    <row r="339" spans="1:18" s="103" customFormat="1" ht="15" customHeight="1" x14ac:dyDescent="0.45">
      <c r="A339" s="58" t="s">
        <v>26</v>
      </c>
      <c r="B339" s="170" t="s">
        <v>193</v>
      </c>
      <c r="C339" s="52" t="s">
        <v>145</v>
      </c>
      <c r="D339" s="261">
        <v>20</v>
      </c>
      <c r="E339" s="339" t="e">
        <f t="shared" ca="1" si="52"/>
        <v>#REF!</v>
      </c>
      <c r="F339" s="335">
        <f t="shared" ca="1" si="53"/>
        <v>0</v>
      </c>
      <c r="G339" s="10">
        <f ca="1">IF(_1!E$27&gt;0,INDIRECT(ADDRESS(15,2,,,_1!E$23)),0)</f>
        <v>0</v>
      </c>
      <c r="H339" s="10">
        <f ca="1">IF(_1!F$27&gt;0,INDIRECT(ADDRESS(15,2,,,_1!F$23)),0)</f>
        <v>0</v>
      </c>
      <c r="I339" s="345" t="e">
        <f t="shared" ca="1" si="54"/>
        <v>#REF!</v>
      </c>
      <c r="J339" s="10" t="e">
        <f ca="1">IF(_1!H$27&gt;0,INDIRECT(ADDRESS(15,2,,,_1!H$23)),0)</f>
        <v>#REF!</v>
      </c>
      <c r="K339" s="230" t="e">
        <f ca="1">IF(_1!I$27&gt;0,INDIRECT(ADDRESS(15,2,,,_1!I$23)),0)</f>
        <v>#REF!</v>
      </c>
      <c r="L339"/>
      <c r="P339" s="124" t="e">
        <f t="shared" ca="1" si="37"/>
        <v>#REF!</v>
      </c>
      <c r="Q339" s="125"/>
      <c r="R339" s="125"/>
    </row>
    <row r="340" spans="1:18" s="103" customFormat="1" ht="15" customHeight="1" x14ac:dyDescent="0.45">
      <c r="A340" s="58" t="s">
        <v>26</v>
      </c>
      <c r="B340" s="170" t="s">
        <v>193</v>
      </c>
      <c r="C340" s="52" t="s">
        <v>145</v>
      </c>
      <c r="D340" s="261">
        <v>22</v>
      </c>
      <c r="E340" s="339" t="e">
        <f t="shared" ca="1" si="52"/>
        <v>#REF!</v>
      </c>
      <c r="F340" s="335">
        <f t="shared" ca="1" si="53"/>
        <v>0</v>
      </c>
      <c r="G340" s="10">
        <f ca="1">IF(_1!E$27&gt;0,INDIRECT(ADDRESS(16,2,,,_1!E$23)),0)</f>
        <v>0</v>
      </c>
      <c r="H340" s="10">
        <f ca="1">IF(_1!F$27&gt;0,INDIRECT(ADDRESS(16,2,,,_1!F$23)),0)</f>
        <v>0</v>
      </c>
      <c r="I340" s="345" t="e">
        <f t="shared" ca="1" si="54"/>
        <v>#REF!</v>
      </c>
      <c r="J340" s="10" t="e">
        <f ca="1">IF(_1!H$27&gt;0,INDIRECT(ADDRESS(16,2,,,_1!H$23)),0)</f>
        <v>#REF!</v>
      </c>
      <c r="K340" s="230" t="e">
        <f ca="1">IF(_1!I$27&gt;0,INDIRECT(ADDRESS(16,2,,,_1!I$23)),0)</f>
        <v>#REF!</v>
      </c>
      <c r="L340"/>
      <c r="P340" s="124" t="e">
        <f t="shared" ca="1" si="37"/>
        <v>#REF!</v>
      </c>
      <c r="Q340" s="125"/>
      <c r="R340" s="125"/>
    </row>
    <row r="341" spans="1:18" s="103" customFormat="1" ht="15" customHeight="1" x14ac:dyDescent="0.45">
      <c r="A341" s="58" t="s">
        <v>26</v>
      </c>
      <c r="B341" s="170" t="s">
        <v>193</v>
      </c>
      <c r="C341" s="52" t="s">
        <v>145</v>
      </c>
      <c r="D341" s="261">
        <v>25</v>
      </c>
      <c r="E341" s="339" t="e">
        <f t="shared" ca="1" si="52"/>
        <v>#REF!</v>
      </c>
      <c r="F341" s="335">
        <f t="shared" ca="1" si="53"/>
        <v>0</v>
      </c>
      <c r="G341" s="10">
        <f ca="1">IF(_1!E$27&gt;0,INDIRECT(ADDRESS(17,2,,,_1!E$23)),0)</f>
        <v>0</v>
      </c>
      <c r="H341" s="10">
        <f ca="1">IF(_1!F$27&gt;0,INDIRECT(ADDRESS(17,2,,,_1!F$23)),0)</f>
        <v>0</v>
      </c>
      <c r="I341" s="345" t="e">
        <f t="shared" ca="1" si="54"/>
        <v>#REF!</v>
      </c>
      <c r="J341" s="10" t="e">
        <f ca="1">IF(_1!H$27&gt;0,INDIRECT(ADDRESS(17,2,,,_1!H$23)),0)</f>
        <v>#REF!</v>
      </c>
      <c r="K341" s="230" t="e">
        <f ca="1">IF(_1!I$27&gt;0,INDIRECT(ADDRESS(17,2,,,_1!I$23)),0)</f>
        <v>#REF!</v>
      </c>
      <c r="L341"/>
      <c r="P341" s="124" t="e">
        <f t="shared" ca="1" si="37"/>
        <v>#REF!</v>
      </c>
      <c r="Q341" s="125"/>
      <c r="R341" s="125"/>
    </row>
    <row r="342" spans="1:18" s="103" customFormat="1" ht="15" customHeight="1" x14ac:dyDescent="0.45">
      <c r="A342" s="58" t="s">
        <v>26</v>
      </c>
      <c r="B342" s="170" t="s">
        <v>193</v>
      </c>
      <c r="C342" s="52" t="s">
        <v>145</v>
      </c>
      <c r="D342" s="261">
        <v>28</v>
      </c>
      <c r="E342" s="339" t="e">
        <f t="shared" ca="1" si="52"/>
        <v>#REF!</v>
      </c>
      <c r="F342" s="335">
        <f t="shared" ca="1" si="53"/>
        <v>0</v>
      </c>
      <c r="G342" s="10">
        <f ca="1">IF(_1!E$27&gt;0,INDIRECT(ADDRESS(18,2,,,_1!E$23)),0)</f>
        <v>0</v>
      </c>
      <c r="H342" s="10">
        <f ca="1">IF(_1!F$27&gt;0,INDIRECT(ADDRESS(18,2,,,_1!F$23)),0)</f>
        <v>0</v>
      </c>
      <c r="I342" s="345" t="e">
        <f t="shared" ca="1" si="54"/>
        <v>#REF!</v>
      </c>
      <c r="J342" s="10" t="e">
        <f ca="1">IF(_1!H$27&gt;0,INDIRECT(ADDRESS(18,2,,,_1!H$23)),0)</f>
        <v>#REF!</v>
      </c>
      <c r="K342" s="230" t="e">
        <f ca="1">IF(_1!I$27&gt;0,INDIRECT(ADDRESS(18,2,,,_1!I$23)),0)</f>
        <v>#REF!</v>
      </c>
      <c r="L342"/>
      <c r="P342" s="124" t="e">
        <f t="shared" ca="1" si="37"/>
        <v>#REF!</v>
      </c>
      <c r="Q342" s="125"/>
      <c r="R342" s="125"/>
    </row>
    <row r="343" spans="1:18" s="103" customFormat="1" ht="15" customHeight="1" x14ac:dyDescent="0.45">
      <c r="A343" s="58" t="s">
        <v>26</v>
      </c>
      <c r="B343" s="170" t="s">
        <v>193</v>
      </c>
      <c r="C343" s="52" t="s">
        <v>145</v>
      </c>
      <c r="D343" s="261">
        <v>32</v>
      </c>
      <c r="E343" s="339" t="e">
        <f t="shared" ca="1" si="52"/>
        <v>#REF!</v>
      </c>
      <c r="F343" s="335">
        <f t="shared" ca="1" si="53"/>
        <v>0</v>
      </c>
      <c r="G343" s="10">
        <f ca="1">IF(_1!E$27&gt;0,INDIRECT(ADDRESS(19,2,,,_1!E$23)),0)</f>
        <v>0</v>
      </c>
      <c r="H343" s="10">
        <f ca="1">IF(_1!F$27&gt;0,INDIRECT(ADDRESS(19,2,,,_1!F$23)),0)</f>
        <v>0</v>
      </c>
      <c r="I343" s="345" t="e">
        <f t="shared" ca="1" si="54"/>
        <v>#REF!</v>
      </c>
      <c r="J343" s="10" t="e">
        <f ca="1">IF(_1!H$27&gt;0,INDIRECT(ADDRESS(19,2,,,_1!H$23)),0)</f>
        <v>#REF!</v>
      </c>
      <c r="K343" s="230" t="e">
        <f ca="1">IF(_1!I$27&gt;0,INDIRECT(ADDRESS(19,2,,,_1!I$23)),0)</f>
        <v>#REF!</v>
      </c>
      <c r="L343"/>
      <c r="P343" s="124" t="e">
        <f t="shared" ca="1" si="37"/>
        <v>#REF!</v>
      </c>
      <c r="Q343" s="125"/>
      <c r="R343" s="125"/>
    </row>
    <row r="344" spans="1:18" s="103" customFormat="1" ht="15" customHeight="1" x14ac:dyDescent="0.45">
      <c r="A344" s="58" t="s">
        <v>26</v>
      </c>
      <c r="B344" s="170" t="s">
        <v>193</v>
      </c>
      <c r="C344" s="52" t="s">
        <v>145</v>
      </c>
      <c r="D344" s="261">
        <v>36</v>
      </c>
      <c r="E344" s="339" t="e">
        <f t="shared" ca="1" si="52"/>
        <v>#REF!</v>
      </c>
      <c r="F344" s="335">
        <f t="shared" ca="1" si="53"/>
        <v>0</v>
      </c>
      <c r="G344" s="10">
        <f ca="1">IF(_1!E$27&gt;0,INDIRECT(ADDRESS(20,2,,,_1!E$23)),0)</f>
        <v>0</v>
      </c>
      <c r="H344" s="10">
        <f ca="1">IF(_1!F$27&gt;0,INDIRECT(ADDRESS(20,2,,,_1!F$23)),0)</f>
        <v>0</v>
      </c>
      <c r="I344" s="345" t="e">
        <f t="shared" ca="1" si="54"/>
        <v>#REF!</v>
      </c>
      <c r="J344" s="10" t="e">
        <f ca="1">IF(_1!H$27&gt;0,INDIRECT(ADDRESS(20,2,,,_1!H$23)),0)</f>
        <v>#REF!</v>
      </c>
      <c r="K344" s="230" t="e">
        <f ca="1">IF(_1!I$27&gt;0,INDIRECT(ADDRESS(20,2,,,_1!I$23)),0)</f>
        <v>#REF!</v>
      </c>
      <c r="L344"/>
      <c r="P344" s="124" t="e">
        <f t="shared" ca="1" si="37"/>
        <v>#REF!</v>
      </c>
      <c r="Q344" s="125"/>
      <c r="R344" s="125"/>
    </row>
    <row r="345" spans="1:18" s="103" customFormat="1" ht="15" customHeight="1" x14ac:dyDescent="0.45">
      <c r="A345" s="58" t="s">
        <v>26</v>
      </c>
      <c r="B345" s="170" t="s">
        <v>193</v>
      </c>
      <c r="C345" s="52" t="s">
        <v>145</v>
      </c>
      <c r="D345" s="261">
        <v>40</v>
      </c>
      <c r="E345" s="339" t="e">
        <f t="shared" ca="1" si="52"/>
        <v>#REF!</v>
      </c>
      <c r="F345" s="335">
        <f t="shared" ca="1" si="53"/>
        <v>0</v>
      </c>
      <c r="G345" s="10">
        <f ca="1">IF(_1!E$27&gt;0,INDIRECT(ADDRESS(21,2,,,_1!E$23)),0)</f>
        <v>0</v>
      </c>
      <c r="H345" s="10">
        <f ca="1">IF(_1!F$27&gt;0,INDIRECT(ADDRESS(21,2,,,_1!F$23)),0)</f>
        <v>0</v>
      </c>
      <c r="I345" s="345" t="e">
        <f t="shared" ca="1" si="54"/>
        <v>#REF!</v>
      </c>
      <c r="J345" s="10" t="e">
        <f ca="1">IF(_1!H$27&gt;0,INDIRECT(ADDRESS(21,2,,,_1!H$23)),0)</f>
        <v>#REF!</v>
      </c>
      <c r="K345" s="230" t="e">
        <f ca="1">IF(_1!I$27&gt;0,INDIRECT(ADDRESS(21,2,,,_1!I$23)),0)</f>
        <v>#REF!</v>
      </c>
      <c r="L345"/>
      <c r="P345" s="124" t="e">
        <f t="shared" ca="1" si="37"/>
        <v>#REF!</v>
      </c>
      <c r="Q345" s="125"/>
      <c r="R345" s="125"/>
    </row>
    <row r="346" spans="1:18" s="103" customFormat="1" ht="15" customHeight="1" x14ac:dyDescent="0.45">
      <c r="A346" s="58"/>
      <c r="B346" s="17"/>
      <c r="C346" s="54" t="s">
        <v>147</v>
      </c>
      <c r="D346" s="255" t="s">
        <v>363</v>
      </c>
      <c r="E346" s="339" t="e">
        <f t="shared" ca="1" si="52"/>
        <v>#REF!</v>
      </c>
      <c r="F346" s="335">
        <f t="shared" ca="1" si="53"/>
        <v>0</v>
      </c>
      <c r="G346" s="10">
        <f ca="1">IF(_1!E$27&gt;0,INDIRECT(ADDRESS(35,3,,,_1!E$23)),0)</f>
        <v>0</v>
      </c>
      <c r="H346" s="10">
        <f ca="1">IF(_1!F$27&gt;0,INDIRECT(ADDRESS(35,3,,,_1!F$23)),0)</f>
        <v>0</v>
      </c>
      <c r="I346" s="345" t="e">
        <f t="shared" ca="1" si="54"/>
        <v>#REF!</v>
      </c>
      <c r="J346" s="10" t="e">
        <f ca="1">IF(_1!H$27&gt;0,INDIRECT(ADDRESS(35,3,,,_1!H$23)),0)</f>
        <v>#REF!</v>
      </c>
      <c r="K346" s="230" t="e">
        <f ca="1">IF(_1!I$27&gt;0,INDIRECT(ADDRESS(35,3,,,_1!I$23)),0)</f>
        <v>#REF!</v>
      </c>
      <c r="L346"/>
      <c r="P346" s="124" t="e">
        <f t="shared" ca="1" si="37"/>
        <v>#REF!</v>
      </c>
      <c r="Q346" s="125"/>
      <c r="R346" s="125"/>
    </row>
    <row r="347" spans="1:18" s="103" customFormat="1" ht="15" customHeight="1" x14ac:dyDescent="0.45">
      <c r="A347" s="58"/>
      <c r="B347" s="17"/>
      <c r="C347" s="54" t="s">
        <v>390</v>
      </c>
      <c r="D347" s="314" t="s">
        <v>391</v>
      </c>
      <c r="E347" s="339" t="e">
        <f t="shared" ca="1" si="52"/>
        <v>#REF!</v>
      </c>
      <c r="F347" s="335">
        <f ca="1">G$249*G347+H$249*H347</f>
        <v>0</v>
      </c>
      <c r="G347" s="10">
        <f ca="1">IF(_1!E$27&gt;0,INDIRECT(ADDRESS(35,12,,,_1!E$23)),0)</f>
        <v>0</v>
      </c>
      <c r="H347" s="10">
        <f ca="1">IF(_1!F$27&gt;0,INDIRECT(ADDRESS(35,12,,,_1!F$23)),0)</f>
        <v>0</v>
      </c>
      <c r="I347" s="345" t="e">
        <f t="shared" ca="1" si="54"/>
        <v>#REF!</v>
      </c>
      <c r="J347" s="10" t="e">
        <f ca="1">IF(_1!H$27&gt;0,INDIRECT(ADDRESS(35,12,,,_1!H$23)),0)</f>
        <v>#REF!</v>
      </c>
      <c r="K347" s="230" t="e">
        <f ca="1">IF(_1!I$27&gt;0,INDIRECT(ADDRESS(35,12,,,_1!I$23)),0)</f>
        <v>#REF!</v>
      </c>
      <c r="L347"/>
      <c r="P347" s="124"/>
      <c r="Q347" s="125"/>
      <c r="R347" s="125"/>
    </row>
    <row r="348" spans="1:18" s="103" customFormat="1" ht="15" customHeight="1" x14ac:dyDescent="0.45">
      <c r="A348" s="58"/>
      <c r="B348" s="17"/>
      <c r="C348" s="54" t="s">
        <v>390</v>
      </c>
      <c r="D348" s="314" t="s">
        <v>392</v>
      </c>
      <c r="E348" s="339" t="e">
        <f t="shared" ca="1" si="52"/>
        <v>#REF!</v>
      </c>
      <c r="F348" s="335">
        <f ca="1">G$249*G348+H$249*H348</f>
        <v>0</v>
      </c>
      <c r="G348" s="10">
        <f ca="1">IF(_1!E$27&gt;0,INDIRECT(ADDRESS(35,10,,,_1!E$23)),0)</f>
        <v>0</v>
      </c>
      <c r="H348" s="10">
        <f ca="1">IF(_1!F$27&gt;0,INDIRECT(ADDRESS(35,10,,,_1!F$23)),0)</f>
        <v>0</v>
      </c>
      <c r="I348" s="345" t="e">
        <f t="shared" ca="1" si="54"/>
        <v>#REF!</v>
      </c>
      <c r="J348" s="10" t="e">
        <f ca="1">IF(_1!H$27&gt;0,INDIRECT(ADDRESS(35,10,,,_1!H$23)),0)</f>
        <v>#REF!</v>
      </c>
      <c r="K348" s="230" t="e">
        <f ca="1">IF(_1!I$27&gt;0,INDIRECT(ADDRESS(35,10,,,_1!I$23)),0)</f>
        <v>#REF!</v>
      </c>
      <c r="L348"/>
      <c r="P348" s="124"/>
      <c r="Q348" s="125"/>
      <c r="R348" s="125"/>
    </row>
    <row r="349" spans="1:18" s="103" customFormat="1" ht="15" customHeight="1" thickBot="1" x14ac:dyDescent="0.5">
      <c r="A349" s="121" t="s">
        <v>337</v>
      </c>
      <c r="D349" s="15"/>
      <c r="E349" s="340">
        <f t="shared" si="52"/>
        <v>0</v>
      </c>
      <c r="F349" s="335">
        <f>ROUND(G$249*G349+H$249*H349,1)</f>
        <v>0</v>
      </c>
      <c r="G349" s="103">
        <f>ROUND(_1!E25*_1!E28,2)</f>
        <v>0.13</v>
      </c>
      <c r="H349" s="103">
        <f>ROUND(_1!F25*_1!F28,2)</f>
        <v>0.13</v>
      </c>
      <c r="I349" s="346">
        <f t="shared" si="54"/>
        <v>0</v>
      </c>
      <c r="J349" s="134">
        <f>ROUND(_1!H25*_1!H28,2)</f>
        <v>1.02</v>
      </c>
      <c r="K349" s="221">
        <f>ROUND(_1!I25*_1!I28,2)</f>
        <v>1.02</v>
      </c>
      <c r="L349"/>
      <c r="P349" s="124">
        <f>IF(E349=0,0,1)</f>
        <v>0</v>
      </c>
      <c r="Q349" s="125"/>
      <c r="R349" s="125"/>
    </row>
    <row r="350" spans="1:18" s="103" customFormat="1" ht="15" customHeight="1" x14ac:dyDescent="0.45">
      <c r="A350" s="311" t="s">
        <v>315</v>
      </c>
      <c r="B350" s="312">
        <v>1.2</v>
      </c>
      <c r="C350" s="278" t="s">
        <v>100</v>
      </c>
      <c r="D350" s="5" t="s">
        <v>153</v>
      </c>
      <c r="E350" s="334">
        <f t="shared" si="52"/>
        <v>18</v>
      </c>
      <c r="F350" s="304">
        <f>SUM(G350:H350)</f>
        <v>0</v>
      </c>
      <c r="G350" s="138">
        <f>IF($B350=_1!E26,_1!E27,0)</f>
        <v>0</v>
      </c>
      <c r="H350" s="138">
        <f>IF($B350=_1!F26,_1!F27,0)</f>
        <v>0</v>
      </c>
      <c r="I350" s="304">
        <f>SUM(J350:K350)</f>
        <v>18</v>
      </c>
      <c r="J350" s="138">
        <f>IF($B350=_1!H26,_1!H27,0)</f>
        <v>9</v>
      </c>
      <c r="K350" s="139">
        <f>IF($B350=_1!I26,_1!I27,0)</f>
        <v>9</v>
      </c>
      <c r="L350"/>
      <c r="P350" s="124">
        <f t="shared" ref="P350:P448" si="55">IF(E350=0,0,1)</f>
        <v>1</v>
      </c>
      <c r="Q350" s="125"/>
      <c r="R350" s="125"/>
    </row>
    <row r="351" spans="1:18" s="103" customFormat="1" ht="15" customHeight="1" x14ac:dyDescent="0.45">
      <c r="A351" s="121" t="s">
        <v>316</v>
      </c>
      <c r="D351" s="1" t="s">
        <v>120</v>
      </c>
      <c r="E351" s="334">
        <f t="shared" si="52"/>
        <v>341.8</v>
      </c>
      <c r="F351" s="334">
        <f>ROUND(G$350*G351+H$350*H351,1)</f>
        <v>0</v>
      </c>
      <c r="G351" s="103">
        <f>SUM(G352:G358)</f>
        <v>2.37</v>
      </c>
      <c r="H351" s="103">
        <f>SUM(H352:H358)</f>
        <v>2.36</v>
      </c>
      <c r="I351" s="334">
        <f>ROUND(J$350*J351+K$350*K351,1)</f>
        <v>341.8</v>
      </c>
      <c r="J351" s="103">
        <f>SUM(J352:J358)</f>
        <v>18.88</v>
      </c>
      <c r="K351" s="119">
        <f>SUM(K352:K358)</f>
        <v>19.100000000000001</v>
      </c>
      <c r="L351"/>
      <c r="P351" s="124">
        <f t="shared" si="55"/>
        <v>1</v>
      </c>
      <c r="Q351" s="125"/>
      <c r="R351" s="125"/>
    </row>
    <row r="352" spans="1:18" s="103" customFormat="1" ht="15" customHeight="1" x14ac:dyDescent="0.45">
      <c r="A352" s="198" t="s">
        <v>240</v>
      </c>
      <c r="D352" s="1" t="s">
        <v>120</v>
      </c>
      <c r="E352" s="334">
        <f t="shared" si="52"/>
        <v>187.1</v>
      </c>
      <c r="F352" s="334">
        <f>ROUND(G$350*G352+H$350*H352,1)</f>
        <v>0</v>
      </c>
      <c r="G352" s="103">
        <f>ROUND(_1!E31*_1!E$28,2)</f>
        <v>1.43</v>
      </c>
      <c r="H352" s="103">
        <f>ROUND(_1!F31*_1!F$28,2)</f>
        <v>1.31</v>
      </c>
      <c r="I352" s="334">
        <f>ROUND(J$350*J352+K$350*K352,1)</f>
        <v>187.1</v>
      </c>
      <c r="J352" s="103">
        <f>ROUND(_1!H31*_1!H$28,2)</f>
        <v>9.83</v>
      </c>
      <c r="K352" s="119">
        <f>ROUND(_1!I31*_1!I$28,2)</f>
        <v>10.96</v>
      </c>
      <c r="L352"/>
      <c r="P352" s="124">
        <f t="shared" si="55"/>
        <v>1</v>
      </c>
      <c r="Q352" s="125"/>
      <c r="R352" s="125"/>
    </row>
    <row r="353" spans="1:18" s="103" customFormat="1" ht="15" customHeight="1" x14ac:dyDescent="0.45">
      <c r="A353" s="198" t="s">
        <v>317</v>
      </c>
      <c r="D353" s="1" t="s">
        <v>120</v>
      </c>
      <c r="E353" s="334">
        <f t="shared" si="52"/>
        <v>34.700000000000003</v>
      </c>
      <c r="F353" s="334">
        <f t="shared" ref="F353:F358" si="56">ROUND(G$350*G353+H$350*H353,1)</f>
        <v>0</v>
      </c>
      <c r="G353" s="103">
        <f>ROUND(_1!E32*_1!E$28,2)</f>
        <v>0.2</v>
      </c>
      <c r="H353" s="103">
        <f>ROUND(_1!F32*_1!F$28,2)</f>
        <v>0.26</v>
      </c>
      <c r="I353" s="334">
        <f t="shared" ref="I353:I358" si="57">ROUND(J$350*J353+K$350*K353,1)</f>
        <v>34.700000000000003</v>
      </c>
      <c r="J353" s="103">
        <f>ROUND(_1!H32*_1!H$28,2)</f>
        <v>2.4900000000000002</v>
      </c>
      <c r="K353" s="119">
        <f>ROUND(_1!I32*_1!I$28,2)</f>
        <v>1.36</v>
      </c>
      <c r="L353"/>
      <c r="P353" s="124">
        <f t="shared" si="55"/>
        <v>1</v>
      </c>
      <c r="Q353" s="125"/>
      <c r="R353" s="125"/>
    </row>
    <row r="354" spans="1:18" s="103" customFormat="1" ht="15" customHeight="1" x14ac:dyDescent="0.45">
      <c r="A354" s="198" t="s">
        <v>318</v>
      </c>
      <c r="D354" s="1" t="s">
        <v>120</v>
      </c>
      <c r="E354" s="334">
        <f t="shared" si="52"/>
        <v>53.9</v>
      </c>
      <c r="F354" s="334">
        <f t="shared" si="56"/>
        <v>0</v>
      </c>
      <c r="G354" s="103">
        <f>ROUND(_1!E33*_1!E$28,2)</f>
        <v>0.33</v>
      </c>
      <c r="H354" s="103">
        <f>ROUND(_1!F33*_1!F$28,2)</f>
        <v>0.41</v>
      </c>
      <c r="I354" s="334">
        <f t="shared" si="57"/>
        <v>53.9</v>
      </c>
      <c r="J354" s="103">
        <f>ROUND(_1!H33*_1!H$28,2)</f>
        <v>2.94</v>
      </c>
      <c r="K354" s="119">
        <f>ROUND(_1!I33*_1!I$28,2)</f>
        <v>3.05</v>
      </c>
      <c r="L354"/>
      <c r="P354" s="124">
        <f t="shared" si="55"/>
        <v>1</v>
      </c>
      <c r="Q354" s="125"/>
      <c r="R354" s="125"/>
    </row>
    <row r="355" spans="1:18" s="103" customFormat="1" ht="15" customHeight="1" x14ac:dyDescent="0.45">
      <c r="A355" s="198" t="s">
        <v>319</v>
      </c>
      <c r="D355" s="1" t="s">
        <v>120</v>
      </c>
      <c r="E355" s="334">
        <f t="shared" si="52"/>
        <v>0</v>
      </c>
      <c r="F355" s="334">
        <f t="shared" si="56"/>
        <v>0</v>
      </c>
      <c r="G355" s="103">
        <f>ROUND(_1!E34*_1!E$28,2)</f>
        <v>0</v>
      </c>
      <c r="H355" s="103">
        <f>ROUND(_1!F34*_1!F$28,2)</f>
        <v>0</v>
      </c>
      <c r="I355" s="334">
        <f t="shared" si="57"/>
        <v>0</v>
      </c>
      <c r="J355" s="103">
        <f>ROUND(_1!H34*_1!H$28,2)</f>
        <v>0</v>
      </c>
      <c r="K355" s="119">
        <f>ROUND(_1!I34*_1!I$28,2)</f>
        <v>0</v>
      </c>
      <c r="L355"/>
      <c r="P355" s="124">
        <f t="shared" si="55"/>
        <v>0</v>
      </c>
      <c r="Q355" s="125"/>
      <c r="R355" s="125"/>
    </row>
    <row r="356" spans="1:18" s="103" customFormat="1" ht="15" customHeight="1" x14ac:dyDescent="0.45">
      <c r="A356" s="198" t="s">
        <v>320</v>
      </c>
      <c r="D356" s="1" t="s">
        <v>120</v>
      </c>
      <c r="E356" s="334">
        <f t="shared" si="52"/>
        <v>66.2</v>
      </c>
      <c r="F356" s="334">
        <f t="shared" si="56"/>
        <v>0</v>
      </c>
      <c r="G356" s="103">
        <f>ROUND(_1!E35*_1!E$28,2)</f>
        <v>0.41</v>
      </c>
      <c r="H356" s="103">
        <f>ROUND(_1!F35*_1!F$28,2)</f>
        <v>0.38</v>
      </c>
      <c r="I356" s="334">
        <f t="shared" si="57"/>
        <v>66.2</v>
      </c>
      <c r="J356" s="103">
        <f>ROUND(_1!H35*_1!H$28,2)</f>
        <v>3.62</v>
      </c>
      <c r="K356" s="119">
        <f>ROUND(_1!I35*_1!I$28,2)</f>
        <v>3.73</v>
      </c>
      <c r="L356"/>
      <c r="P356" s="124">
        <f t="shared" si="55"/>
        <v>1</v>
      </c>
      <c r="Q356" s="125"/>
      <c r="R356" s="125"/>
    </row>
    <row r="357" spans="1:18" s="103" customFormat="1" ht="15" customHeight="1" x14ac:dyDescent="0.45">
      <c r="A357" s="198" t="s">
        <v>321</v>
      </c>
      <c r="D357" s="1" t="s">
        <v>120</v>
      </c>
      <c r="E357" s="334">
        <f t="shared" si="52"/>
        <v>0</v>
      </c>
      <c r="F357" s="334">
        <f t="shared" si="56"/>
        <v>0</v>
      </c>
      <c r="G357" s="103">
        <f>ROUND(_1!E36*_1!E$28,2)</f>
        <v>0</v>
      </c>
      <c r="H357" s="103">
        <f>ROUND(_1!F36*_1!F$28,2)</f>
        <v>0</v>
      </c>
      <c r="I357" s="334">
        <f t="shared" si="57"/>
        <v>0</v>
      </c>
      <c r="J357" s="103">
        <f>ROUND(_1!H36*_1!H$28,2)</f>
        <v>0</v>
      </c>
      <c r="K357" s="119">
        <f>ROUND(_1!I36*_1!I$28,2)</f>
        <v>0</v>
      </c>
      <c r="L357"/>
      <c r="P357" s="124">
        <f t="shared" si="55"/>
        <v>0</v>
      </c>
      <c r="Q357" s="125"/>
      <c r="R357" s="125"/>
    </row>
    <row r="358" spans="1:18" s="103" customFormat="1" ht="15" customHeight="1" x14ac:dyDescent="0.45">
      <c r="A358" s="198" t="s">
        <v>322</v>
      </c>
      <c r="D358" s="1" t="s">
        <v>120</v>
      </c>
      <c r="E358" s="334">
        <f t="shared" si="52"/>
        <v>0</v>
      </c>
      <c r="F358" s="334">
        <f t="shared" si="56"/>
        <v>0</v>
      </c>
      <c r="G358" s="103">
        <f>ROUND(_1!E37*_1!E$28,2)</f>
        <v>0</v>
      </c>
      <c r="H358" s="103">
        <f>ROUND(_1!F37*_1!F$28,2)</f>
        <v>0</v>
      </c>
      <c r="I358" s="334">
        <f t="shared" si="57"/>
        <v>0</v>
      </c>
      <c r="J358" s="103">
        <f>ROUND(_1!H37*_1!H$28,2)</f>
        <v>0</v>
      </c>
      <c r="K358" s="119">
        <f>ROUND(_1!I37*_1!I$28,2)</f>
        <v>0</v>
      </c>
      <c r="L358"/>
      <c r="P358" s="124">
        <f t="shared" si="55"/>
        <v>0</v>
      </c>
      <c r="Q358" s="125"/>
      <c r="R358" s="125"/>
    </row>
    <row r="359" spans="1:18" s="103" customFormat="1" ht="15" customHeight="1" x14ac:dyDescent="0.45">
      <c r="A359" s="218" t="s">
        <v>323</v>
      </c>
      <c r="D359" s="1" t="s">
        <v>120</v>
      </c>
      <c r="E359" s="334">
        <f t="shared" si="52"/>
        <v>9</v>
      </c>
      <c r="F359" s="341">
        <f>ROUND(G$350*G359+H$350*H359,1)</f>
        <v>0</v>
      </c>
      <c r="G359" s="309">
        <f>IF(G350&gt;0,IF((G351-G369)&lt;0,0,G351-G369),0)</f>
        <v>0</v>
      </c>
      <c r="H359" s="309">
        <f>IF(H350&gt;0,IF((H351-H369)&lt;0,0,H351-H369),0)</f>
        <v>0</v>
      </c>
      <c r="I359" s="341">
        <f>ROUND(J$350*J359+K$350*K359,1)</f>
        <v>9</v>
      </c>
      <c r="J359" s="309">
        <f>IF(J350&gt;0,IF((J351-J369)&lt;0,0,J351-J369),0)</f>
        <v>0</v>
      </c>
      <c r="K359" s="310">
        <f>IF(K350&gt;0,IF((K351-K369)&lt;0,0,K351-K369),0)</f>
        <v>1</v>
      </c>
      <c r="L359"/>
      <c r="P359" s="124">
        <f t="shared" si="55"/>
        <v>1</v>
      </c>
      <c r="Q359" s="125"/>
      <c r="R359" s="125"/>
    </row>
    <row r="360" spans="1:18" s="103" customFormat="1" ht="15" customHeight="1" x14ac:dyDescent="0.45">
      <c r="A360" s="198" t="s">
        <v>240</v>
      </c>
      <c r="D360" s="1" t="s">
        <v>120</v>
      </c>
      <c r="E360" s="334">
        <f t="shared" ca="1" si="52"/>
        <v>9.1</v>
      </c>
      <c r="F360" s="334">
        <f>ROUND(G$350*G360+H$350*H360,1)</f>
        <v>0</v>
      </c>
      <c r="G360" s="103">
        <f>ROUND(_1!E39*_1!E$28,2)</f>
        <v>0.57999999999999996</v>
      </c>
      <c r="H360" s="103">
        <f>ROUND(_1!F39*_1!F$28,2)</f>
        <v>0.23</v>
      </c>
      <c r="I360" s="334">
        <f ca="1">ROUND(J$350*J360+K$350*K360,1)</f>
        <v>9.1</v>
      </c>
      <c r="J360" s="103">
        <f ca="1">ROUND(_1!H39*_1!H$28,2)</f>
        <v>0</v>
      </c>
      <c r="K360" s="119">
        <f ca="1">ROUND(_1!I39*_1!I$28,2)</f>
        <v>1.01</v>
      </c>
      <c r="L360"/>
      <c r="P360" s="124">
        <f t="shared" ca="1" si="55"/>
        <v>1</v>
      </c>
      <c r="Q360" s="125"/>
      <c r="R360" s="125"/>
    </row>
    <row r="361" spans="1:18" s="103" customFormat="1" ht="15" customHeight="1" x14ac:dyDescent="0.45">
      <c r="A361" s="198" t="s">
        <v>317</v>
      </c>
      <c r="D361" s="1" t="s">
        <v>120</v>
      </c>
      <c r="E361" s="334">
        <f t="shared" ca="1" si="52"/>
        <v>0</v>
      </c>
      <c r="F361" s="334">
        <f t="shared" ref="F361:F367" si="58">ROUND(G$350*G361+H$350*H361,1)</f>
        <v>0</v>
      </c>
      <c r="G361" s="103">
        <f>ROUND(_1!E40*_1!E$28,2)</f>
        <v>7.0000000000000007E-2</v>
      </c>
      <c r="H361" s="103">
        <f>ROUND(_1!F40*_1!F$28,2)</f>
        <v>0</v>
      </c>
      <c r="I361" s="334">
        <f t="shared" ref="I361:I367" ca="1" si="59">ROUND(J$350*J361+K$350*K361,1)</f>
        <v>0</v>
      </c>
      <c r="J361" s="103">
        <f ca="1">ROUND(_1!H40*_1!H$28,2)</f>
        <v>0</v>
      </c>
      <c r="K361" s="119">
        <f ca="1">ROUND(_1!I40*_1!I$28,2)</f>
        <v>0</v>
      </c>
      <c r="L361"/>
      <c r="P361" s="124">
        <f t="shared" ca="1" si="55"/>
        <v>0</v>
      </c>
      <c r="Q361" s="125"/>
      <c r="R361" s="125"/>
    </row>
    <row r="362" spans="1:18" s="103" customFormat="1" ht="15" customHeight="1" x14ac:dyDescent="0.45">
      <c r="A362" s="198" t="s">
        <v>318</v>
      </c>
      <c r="D362" s="1" t="s">
        <v>120</v>
      </c>
      <c r="E362" s="334">
        <f t="shared" ca="1" si="52"/>
        <v>0</v>
      </c>
      <c r="F362" s="334">
        <f t="shared" si="58"/>
        <v>0</v>
      </c>
      <c r="G362" s="103">
        <f>ROUND(_1!E41*_1!E$28,2)</f>
        <v>0</v>
      </c>
      <c r="H362" s="103">
        <f>ROUND(_1!F41*_1!F$28,2)</f>
        <v>0</v>
      </c>
      <c r="I362" s="334">
        <f t="shared" ca="1" si="59"/>
        <v>0</v>
      </c>
      <c r="J362" s="103">
        <f ca="1">ROUND(_1!H41*_1!H$28,2)</f>
        <v>0</v>
      </c>
      <c r="K362" s="119">
        <f ca="1">ROUND(_1!I41*_1!I$28,2)</f>
        <v>0</v>
      </c>
      <c r="L362"/>
      <c r="P362" s="124">
        <f t="shared" ca="1" si="55"/>
        <v>0</v>
      </c>
      <c r="Q362" s="125"/>
      <c r="R362" s="125"/>
    </row>
    <row r="363" spans="1:18" s="103" customFormat="1" ht="15" customHeight="1" x14ac:dyDescent="0.45">
      <c r="A363" s="198" t="s">
        <v>319</v>
      </c>
      <c r="D363" s="1" t="s">
        <v>120</v>
      </c>
      <c r="E363" s="334">
        <f t="shared" ca="1" si="52"/>
        <v>0</v>
      </c>
      <c r="F363" s="334">
        <f t="shared" si="58"/>
        <v>0</v>
      </c>
      <c r="G363" s="103">
        <f>ROUND(_1!E42*_1!E$28,2)</f>
        <v>0</v>
      </c>
      <c r="H363" s="103">
        <f>ROUND(_1!F42*_1!F$28,2)</f>
        <v>0</v>
      </c>
      <c r="I363" s="334">
        <f t="shared" ca="1" si="59"/>
        <v>0</v>
      </c>
      <c r="J363" s="103">
        <f ca="1">ROUND(_1!H42*_1!H$28,2)</f>
        <v>0</v>
      </c>
      <c r="K363" s="119">
        <f ca="1">ROUND(_1!I42*_1!I$28,2)</f>
        <v>0</v>
      </c>
      <c r="L363"/>
      <c r="P363" s="124">
        <f t="shared" ca="1" si="55"/>
        <v>0</v>
      </c>
      <c r="Q363" s="125"/>
      <c r="R363" s="125"/>
    </row>
    <row r="364" spans="1:18" s="103" customFormat="1" ht="15" customHeight="1" x14ac:dyDescent="0.45">
      <c r="A364" s="198" t="s">
        <v>320</v>
      </c>
      <c r="D364" s="1" t="s">
        <v>120</v>
      </c>
      <c r="E364" s="334">
        <f t="shared" ca="1" si="52"/>
        <v>0</v>
      </c>
      <c r="F364" s="334">
        <f t="shared" si="58"/>
        <v>0</v>
      </c>
      <c r="G364" s="103">
        <f>ROUND(_1!E43*_1!E$28,2)</f>
        <v>0</v>
      </c>
      <c r="H364" s="103">
        <f>ROUND(_1!F43*_1!F$28,2)</f>
        <v>0</v>
      </c>
      <c r="I364" s="334">
        <f t="shared" ca="1" si="59"/>
        <v>0</v>
      </c>
      <c r="J364" s="103">
        <f ca="1">ROUND(_1!H43*_1!H$28,2)</f>
        <v>0</v>
      </c>
      <c r="K364" s="119">
        <f ca="1">ROUND(_1!I43*_1!I$28,2)</f>
        <v>0</v>
      </c>
      <c r="L364"/>
      <c r="P364" s="124">
        <f t="shared" ca="1" si="55"/>
        <v>0</v>
      </c>
      <c r="Q364" s="125"/>
      <c r="R364" s="125"/>
    </row>
    <row r="365" spans="1:18" s="103" customFormat="1" ht="15" customHeight="1" x14ac:dyDescent="0.45">
      <c r="A365" s="198" t="s">
        <v>321</v>
      </c>
      <c r="D365" s="1" t="s">
        <v>120</v>
      </c>
      <c r="E365" s="334">
        <f t="shared" ca="1" si="52"/>
        <v>0</v>
      </c>
      <c r="F365" s="334">
        <f t="shared" si="58"/>
        <v>0</v>
      </c>
      <c r="G365" s="103">
        <f>ROUND(_1!E44*_1!E$28,2)</f>
        <v>0</v>
      </c>
      <c r="H365" s="103">
        <f>ROUND(_1!F44*_1!F$28,2)</f>
        <v>0</v>
      </c>
      <c r="I365" s="334">
        <f t="shared" ca="1" si="59"/>
        <v>0</v>
      </c>
      <c r="J365" s="103">
        <f ca="1">ROUND(_1!H44*_1!H$28,2)</f>
        <v>0</v>
      </c>
      <c r="K365" s="119">
        <f ca="1">ROUND(_1!I44*_1!I$28,2)</f>
        <v>0</v>
      </c>
      <c r="L365"/>
      <c r="P365" s="124">
        <f t="shared" ca="1" si="55"/>
        <v>0</v>
      </c>
      <c r="Q365" s="125"/>
      <c r="R365" s="125"/>
    </row>
    <row r="366" spans="1:18" s="103" customFormat="1" ht="15" customHeight="1" x14ac:dyDescent="0.45">
      <c r="A366" s="198" t="s">
        <v>322</v>
      </c>
      <c r="D366" s="1" t="s">
        <v>120</v>
      </c>
      <c r="E366" s="334">
        <f t="shared" ca="1" si="52"/>
        <v>0</v>
      </c>
      <c r="F366" s="334">
        <f t="shared" si="58"/>
        <v>0</v>
      </c>
      <c r="G366" s="103">
        <f>ROUND(_1!E45*_1!E$28,2)</f>
        <v>0</v>
      </c>
      <c r="H366" s="103">
        <f>ROUND(_1!F45*_1!F$28,2)</f>
        <v>0</v>
      </c>
      <c r="I366" s="334">
        <f t="shared" ca="1" si="59"/>
        <v>0</v>
      </c>
      <c r="J366" s="103">
        <f ca="1">ROUND(_1!H45*_1!H$28,2)</f>
        <v>0</v>
      </c>
      <c r="K366" s="119">
        <f ca="1">ROUND(_1!I45*_1!I$28,2)</f>
        <v>0</v>
      </c>
      <c r="L366"/>
      <c r="P366" s="124">
        <f t="shared" ca="1" si="55"/>
        <v>0</v>
      </c>
      <c r="Q366" s="125"/>
      <c r="R366" s="125"/>
    </row>
    <row r="367" spans="1:18" s="103" customFormat="1" ht="15" customHeight="1" x14ac:dyDescent="0.45">
      <c r="A367" s="212" t="s">
        <v>332</v>
      </c>
      <c r="D367" s="1" t="s">
        <v>120</v>
      </c>
      <c r="E367" s="334">
        <f t="shared" si="52"/>
        <v>9</v>
      </c>
      <c r="F367" s="334">
        <f t="shared" si="58"/>
        <v>0</v>
      </c>
      <c r="G367" s="103">
        <f>G359</f>
        <v>0</v>
      </c>
      <c r="H367" s="103">
        <f>H359</f>
        <v>0</v>
      </c>
      <c r="I367" s="334">
        <f t="shared" si="59"/>
        <v>9</v>
      </c>
      <c r="J367" s="103">
        <f>J359</f>
        <v>0</v>
      </c>
      <c r="K367" s="119">
        <f>K359</f>
        <v>1</v>
      </c>
      <c r="L367"/>
      <c r="P367" s="124">
        <f t="shared" si="55"/>
        <v>1</v>
      </c>
      <c r="Q367" s="125"/>
      <c r="R367" s="125"/>
    </row>
    <row r="368" spans="1:18" s="103" customFormat="1" ht="15" customHeight="1" x14ac:dyDescent="0.45">
      <c r="A368" s="121" t="s">
        <v>324</v>
      </c>
      <c r="B368" s="277">
        <f>B350</f>
        <v>1.2</v>
      </c>
      <c r="C368" s="15" t="s">
        <v>100</v>
      </c>
      <c r="D368" s="1" t="s">
        <v>153</v>
      </c>
      <c r="E368" s="334">
        <f t="shared" si="52"/>
        <v>18</v>
      </c>
      <c r="F368" s="123">
        <f>SUM(G368:H368)</f>
        <v>0</v>
      </c>
      <c r="G368" s="103">
        <f>G350</f>
        <v>0</v>
      </c>
      <c r="H368" s="103">
        <f>H350</f>
        <v>0</v>
      </c>
      <c r="I368" s="123">
        <f>SUM(J368:K368)</f>
        <v>18</v>
      </c>
      <c r="J368" s="103">
        <f>J350</f>
        <v>9</v>
      </c>
      <c r="K368" s="119">
        <f>K350</f>
        <v>9</v>
      </c>
      <c r="L368"/>
      <c r="P368" s="124">
        <f t="shared" si="55"/>
        <v>1</v>
      </c>
      <c r="Q368" s="125"/>
      <c r="R368" s="125"/>
    </row>
    <row r="369" spans="1:18" s="103" customFormat="1" ht="15" customHeight="1" x14ac:dyDescent="0.45">
      <c r="A369" s="121" t="s">
        <v>325</v>
      </c>
      <c r="D369" s="1" t="s">
        <v>120</v>
      </c>
      <c r="E369" s="334">
        <f t="shared" si="52"/>
        <v>468.3</v>
      </c>
      <c r="F369" s="334">
        <f>ROUND(G$350*G369+H$350*H369,1)</f>
        <v>0</v>
      </c>
      <c r="G369" s="103">
        <f>IF($B350=_1!E26,_1!E29,0)</f>
        <v>0</v>
      </c>
      <c r="H369" s="103">
        <f>IF($B350=_1!F26,_1!F29,0)</f>
        <v>0</v>
      </c>
      <c r="I369" s="334">
        <f>ROUND(J$350*J369+K$350*K369,1)</f>
        <v>468.3</v>
      </c>
      <c r="J369" s="103">
        <f>IF($B350=_1!H26,_1!H29,0)</f>
        <v>33.93</v>
      </c>
      <c r="K369" s="119">
        <f>IF($B350=_1!I26,_1!I29,0)</f>
        <v>18.100000000000001</v>
      </c>
      <c r="L369"/>
      <c r="P369" s="124">
        <f t="shared" si="55"/>
        <v>1</v>
      </c>
      <c r="Q369" s="125"/>
      <c r="R369" s="125"/>
    </row>
    <row r="370" spans="1:18" s="103" customFormat="1" ht="15" customHeight="1" x14ac:dyDescent="0.45">
      <c r="A370" s="401" t="s">
        <v>240</v>
      </c>
      <c r="B370" s="213" t="str">
        <f>грунты!B$2</f>
        <v>песок рыхлый</v>
      </c>
      <c r="D370" s="1" t="s">
        <v>120</v>
      </c>
      <c r="E370" s="334">
        <f t="shared" si="52"/>
        <v>134.30000000000001</v>
      </c>
      <c r="F370" s="334">
        <f t="shared" ref="F370:F433" si="60">ROUND(G$350*G370+H$350*H370,1)</f>
        <v>0</v>
      </c>
      <c r="G370" s="103">
        <f>ROUND((SUMIF(скв!B$4:B$12,$B370,скв!I$4:I$12))*_1!E$28,2)</f>
        <v>0.27</v>
      </c>
      <c r="H370" s="103">
        <f>ROUND((SUMIF(скв!K$4:K$12,$B370,скв!R$4:R$12))*_1!F$28,2)</f>
        <v>0.66</v>
      </c>
      <c r="I370" s="334">
        <f t="shared" ref="I370:I433" si="61">ROUND(J$350*J370+K$350*K370,1)</f>
        <v>134.30000000000001</v>
      </c>
      <c r="J370" s="103">
        <f>ROUND((SUMIF(скв!T$4:T$12,$B370,скв!AA$4:AA$12))*_1!H$28,2)</f>
        <v>4.97</v>
      </c>
      <c r="K370" s="119">
        <f>ROUND((SUMIF(скв!AC$4:AC$12,$B370,скв!AJ$4:AJ$12))*_1!I$28,2)</f>
        <v>9.9499999999999993</v>
      </c>
      <c r="L370"/>
      <c r="P370" s="124">
        <f t="shared" si="55"/>
        <v>1</v>
      </c>
      <c r="Q370" s="125"/>
      <c r="R370" s="125"/>
    </row>
    <row r="371" spans="1:18" s="103" customFormat="1" ht="15" customHeight="1" x14ac:dyDescent="0.45">
      <c r="A371" s="401"/>
      <c r="B371" s="213" t="str">
        <f>грунты!B$3</f>
        <v>песок другой</v>
      </c>
      <c r="D371" s="1" t="s">
        <v>120</v>
      </c>
      <c r="E371" s="334">
        <f t="shared" si="52"/>
        <v>43.7</v>
      </c>
      <c r="F371" s="334">
        <f t="shared" si="60"/>
        <v>0</v>
      </c>
      <c r="G371" s="103">
        <f>ROUND((SUMIF(скв!B$4:B$12,$B371,скв!I$4:I$12))*_1!E$28,2)</f>
        <v>0.56999999999999995</v>
      </c>
      <c r="H371" s="103">
        <f>ROUND((SUMIF(скв!K$4:K$12,$B371,скв!R$4:R$12))*_1!F$28,2)</f>
        <v>0.43</v>
      </c>
      <c r="I371" s="334">
        <f t="shared" si="61"/>
        <v>43.7</v>
      </c>
      <c r="J371" s="103">
        <f>ROUND((SUMIF(скв!T$4:T$12,$B371,скв!AA$4:AA$12))*_1!H$28,2)</f>
        <v>4.8600000000000003</v>
      </c>
      <c r="K371" s="119">
        <f>ROUND((SUMIF(скв!AC$4:AC$12,$B371,скв!AJ$4:AJ$12))*_1!I$28,2)</f>
        <v>0</v>
      </c>
      <c r="L371"/>
      <c r="P371" s="124">
        <f t="shared" si="55"/>
        <v>1</v>
      </c>
      <c r="Q371" s="125"/>
      <c r="R371" s="125"/>
    </row>
    <row r="372" spans="1:18" s="103" customFormat="1" ht="15" customHeight="1" x14ac:dyDescent="0.45">
      <c r="A372" s="401"/>
      <c r="B372" s="213" t="str">
        <f>грунты!B$4</f>
        <v>песок пылеватый водонасыщенный</v>
      </c>
      <c r="D372" s="1" t="s">
        <v>120</v>
      </c>
      <c r="E372" s="334">
        <f t="shared" si="52"/>
        <v>0</v>
      </c>
      <c r="F372" s="334">
        <f t="shared" si="60"/>
        <v>0</v>
      </c>
      <c r="G372" s="103">
        <f>ROUND((SUMIF(скв!B$4:B$12,$B372,скв!I$4:I$12))*_1!E$28,2)</f>
        <v>0</v>
      </c>
      <c r="H372" s="103">
        <f>ROUND((SUMIF(скв!K$4:K$12,$B372,скв!R$4:R$12))*_1!F$28,2)</f>
        <v>0</v>
      </c>
      <c r="I372" s="334">
        <f t="shared" si="61"/>
        <v>0</v>
      </c>
      <c r="J372" s="103">
        <f>ROUND((SUMIF(скв!T$4:T$12,$B372,скв!AA$4:AA$12))*_1!H$28,2)</f>
        <v>0</v>
      </c>
      <c r="K372" s="119">
        <f>ROUND((SUMIF(скв!AC$4:AC$12,$B372,скв!AJ$4:AJ$12))*_1!I$28,2)</f>
        <v>0</v>
      </c>
      <c r="L372"/>
      <c r="P372" s="124">
        <f t="shared" si="55"/>
        <v>0</v>
      </c>
      <c r="Q372" s="125"/>
      <c r="R372" s="125"/>
    </row>
    <row r="373" spans="1:18" s="103" customFormat="1" ht="15" customHeight="1" x14ac:dyDescent="0.45">
      <c r="A373" s="401"/>
      <c r="B373" s="213" t="str">
        <f>грунты!B$9</f>
        <v>суглинок мягкопластичный</v>
      </c>
      <c r="D373" s="1" t="s">
        <v>120</v>
      </c>
      <c r="E373" s="334">
        <f t="shared" si="52"/>
        <v>0</v>
      </c>
      <c r="F373" s="334">
        <f t="shared" si="60"/>
        <v>0</v>
      </c>
      <c r="G373" s="103">
        <f>ROUND((SUMIF(скв!B$4:B$12,$B373,скв!I$4:I$12))*_1!E$28,2)</f>
        <v>0</v>
      </c>
      <c r="H373" s="103">
        <f>ROUND((SUMIF(скв!K$4:K$12,$B373,скв!R$4:R$12))*_1!F$28,2)</f>
        <v>0</v>
      </c>
      <c r="I373" s="334">
        <f t="shared" si="61"/>
        <v>0</v>
      </c>
      <c r="J373" s="103">
        <f>ROUND((SUMIF(скв!T$4:T$12,$B373,скв!AA$4:AA$12))*_1!H$28,2)</f>
        <v>0</v>
      </c>
      <c r="K373" s="119">
        <f>ROUND((SUMIF(скв!AC$4:AC$12,$B373,скв!AJ$4:AJ$12))*_1!I$28,2)</f>
        <v>0</v>
      </c>
      <c r="L373"/>
      <c r="P373" s="124">
        <f t="shared" si="55"/>
        <v>0</v>
      </c>
      <c r="Q373" s="125"/>
      <c r="R373" s="125"/>
    </row>
    <row r="374" spans="1:18" s="103" customFormat="1" ht="15" customHeight="1" x14ac:dyDescent="0.45">
      <c r="A374" s="401"/>
      <c r="B374" s="213" t="str">
        <f>грунты!B$15</f>
        <v>супесь пластичная</v>
      </c>
      <c r="D374" s="1" t="s">
        <v>120</v>
      </c>
      <c r="E374" s="334">
        <f t="shared" si="52"/>
        <v>0</v>
      </c>
      <c r="F374" s="334">
        <f t="shared" si="60"/>
        <v>0</v>
      </c>
      <c r="G374" s="103">
        <f>ROUND((SUMIF(скв!B$4:B$12,$B374,скв!I$4:I$12))*_1!E$28,2)</f>
        <v>0</v>
      </c>
      <c r="H374" s="103">
        <f>ROUND((SUMIF(скв!K$4:K$12,$B374,скв!R$4:R$12))*_1!F$28,2)</f>
        <v>0</v>
      </c>
      <c r="I374" s="334">
        <f t="shared" si="61"/>
        <v>0</v>
      </c>
      <c r="J374" s="103">
        <f>ROUND((SUMIF(скв!T$4:T$12,$B374,скв!AA$4:AA$12))*_1!H$28,2)</f>
        <v>0</v>
      </c>
      <c r="K374" s="119">
        <f>ROUND((SUMIF(скв!AC$4:AC$12,$B374,скв!AJ$4:AJ$12))*_1!I$28,2)</f>
        <v>0</v>
      </c>
      <c r="L374"/>
      <c r="P374" s="124">
        <f t="shared" si="55"/>
        <v>0</v>
      </c>
      <c r="Q374" s="125"/>
      <c r="R374" s="125"/>
    </row>
    <row r="375" spans="1:18" s="103" customFormat="1" ht="15" customHeight="1" x14ac:dyDescent="0.45">
      <c r="A375" s="401"/>
      <c r="B375" s="213" t="str">
        <f>грунты!B$41</f>
        <v>ил</v>
      </c>
      <c r="D375" s="1" t="s">
        <v>120</v>
      </c>
      <c r="E375" s="334">
        <f t="shared" si="52"/>
        <v>0</v>
      </c>
      <c r="F375" s="334">
        <f t="shared" si="60"/>
        <v>0</v>
      </c>
      <c r="G375" s="103">
        <f>ROUND((SUMIF(скв!B$4:B$12,$B375,скв!I$4:I$12))*_1!E$28,2)</f>
        <v>0</v>
      </c>
      <c r="H375" s="103">
        <f>ROUND((SUMIF(скв!K$4:K$12,$B375,скв!R$4:R$12))*_1!F$28,2)</f>
        <v>0</v>
      </c>
      <c r="I375" s="334">
        <f t="shared" si="61"/>
        <v>0</v>
      </c>
      <c r="J375" s="103">
        <f>ROUND((SUMIF(скв!T$4:T$12,$B375,скв!AA$4:AA$12))*_1!H$28,2)</f>
        <v>0</v>
      </c>
      <c r="K375" s="119">
        <f>ROUND((SUMIF(скв!AC$4:AC$12,$B375,скв!AJ$4:AJ$12))*_1!I$28,2)</f>
        <v>0</v>
      </c>
      <c r="L375"/>
      <c r="P375" s="124">
        <f t="shared" si="55"/>
        <v>0</v>
      </c>
      <c r="Q375" s="125"/>
      <c r="R375" s="125"/>
    </row>
    <row r="376" spans="1:18" s="103" customFormat="1" ht="15" customHeight="1" x14ac:dyDescent="0.45">
      <c r="A376" s="401"/>
      <c r="B376" s="213" t="str">
        <f>грунты!B$45</f>
        <v>торф без корней</v>
      </c>
      <c r="D376" s="1" t="s">
        <v>120</v>
      </c>
      <c r="E376" s="334">
        <f t="shared" si="52"/>
        <v>0</v>
      </c>
      <c r="F376" s="334">
        <f t="shared" si="60"/>
        <v>0</v>
      </c>
      <c r="G376" s="103">
        <f>ROUND((SUMIF(скв!B$4:B$12,$B376,скв!I$4:I$12))*_1!E$28,2)</f>
        <v>0</v>
      </c>
      <c r="H376" s="103">
        <f>ROUND((SUMIF(скв!K$4:K$12,$B376,скв!R$4:R$12))*_1!F$28,2)</f>
        <v>0</v>
      </c>
      <c r="I376" s="334">
        <f t="shared" si="61"/>
        <v>0</v>
      </c>
      <c r="J376" s="103">
        <f>ROUND((SUMIF(скв!T$4:T$12,$B376,скв!AA$4:AA$12))*_1!H$28,2)</f>
        <v>0</v>
      </c>
      <c r="K376" s="119">
        <f>ROUND((SUMIF(скв!AC$4:AC$12,$B376,скв!AJ$4:AJ$12))*_1!I$28,2)</f>
        <v>0</v>
      </c>
      <c r="L376"/>
      <c r="P376" s="124">
        <f t="shared" si="55"/>
        <v>0</v>
      </c>
      <c r="Q376" s="125"/>
      <c r="R376" s="125"/>
    </row>
    <row r="377" spans="1:18" s="103" customFormat="1" ht="15" customHeight="1" x14ac:dyDescent="0.45">
      <c r="A377" s="401" t="s">
        <v>317</v>
      </c>
      <c r="B377" s="213" t="str">
        <f>грунты!B$5</f>
        <v>песок слабоцемент. с щебнем до 20%</v>
      </c>
      <c r="D377" s="1" t="s">
        <v>120</v>
      </c>
      <c r="E377" s="334">
        <f t="shared" si="52"/>
        <v>0</v>
      </c>
      <c r="F377" s="334">
        <f t="shared" si="60"/>
        <v>0</v>
      </c>
      <c r="G377" s="103">
        <f>ROUND((SUMIF(скв!B$4:B$12,$B377,скв!I$4:I$12))*_1!E$28,2)</f>
        <v>0</v>
      </c>
      <c r="H377" s="103">
        <f>ROUND((SUMIF(скв!K$4:K$12,$B377,скв!R$4:R$12))*_1!F$28,2)</f>
        <v>0</v>
      </c>
      <c r="I377" s="334">
        <f t="shared" si="61"/>
        <v>0</v>
      </c>
      <c r="J377" s="103">
        <f>ROUND((SUMIF(скв!T$4:T$12,$B377,скв!AA$4:AA$12))*_1!H$28,2)</f>
        <v>0</v>
      </c>
      <c r="K377" s="119">
        <f>ROUND((SUMIF(скв!AC$4:AC$12,$B377,скв!AJ$4:AJ$12))*_1!I$28,2)</f>
        <v>0</v>
      </c>
      <c r="L377"/>
      <c r="P377" s="124">
        <f t="shared" si="55"/>
        <v>0</v>
      </c>
      <c r="Q377" s="125"/>
      <c r="R377" s="125"/>
    </row>
    <row r="378" spans="1:18" s="103" customFormat="1" ht="15" customHeight="1" x14ac:dyDescent="0.45">
      <c r="A378" s="401"/>
      <c r="B378" s="213" t="str">
        <f>грунты!B$10</f>
        <v>суглинок тугопластичный до 10% щебня</v>
      </c>
      <c r="D378" s="1" t="s">
        <v>120</v>
      </c>
      <c r="E378" s="334">
        <f t="shared" ref="E378:E441" si="62">SUMIF(F$7:L$7,"всего",F378:L378)</f>
        <v>34.700000000000003</v>
      </c>
      <c r="F378" s="334">
        <f t="shared" si="60"/>
        <v>0</v>
      </c>
      <c r="G378" s="103">
        <f>ROUND((SUMIF(скв!B$4:B$12,$B378,скв!I$4:I$12))*_1!E$28,2)</f>
        <v>0.13</v>
      </c>
      <c r="H378" s="103">
        <f>ROUND((SUMIF(скв!K$4:K$12,$B378,скв!R$4:R$12))*_1!F$28,2)</f>
        <v>0.26</v>
      </c>
      <c r="I378" s="334">
        <f t="shared" si="61"/>
        <v>34.700000000000003</v>
      </c>
      <c r="J378" s="103">
        <f>ROUND((SUMIF(скв!T$4:T$12,$B378,скв!AA$4:AA$12))*_1!H$28,2)</f>
        <v>2.4900000000000002</v>
      </c>
      <c r="K378" s="119">
        <f>ROUND((SUMIF(скв!AC$4:AC$12,$B378,скв!AJ$4:AJ$12))*_1!I$28,2)</f>
        <v>1.36</v>
      </c>
      <c r="L378"/>
      <c r="P378" s="124">
        <f t="shared" si="55"/>
        <v>1</v>
      </c>
      <c r="Q378" s="125"/>
      <c r="R378" s="125"/>
    </row>
    <row r="379" spans="1:18" s="103" customFormat="1" ht="15" customHeight="1" x14ac:dyDescent="0.45">
      <c r="A379" s="401"/>
      <c r="B379" s="213" t="str">
        <f>грунты!B$11</f>
        <v>суглинок тугопластичный 10-20% щебня</v>
      </c>
      <c r="D379" s="1" t="s">
        <v>120</v>
      </c>
      <c r="E379" s="334">
        <f t="shared" si="62"/>
        <v>0</v>
      </c>
      <c r="F379" s="334">
        <f t="shared" si="60"/>
        <v>0</v>
      </c>
      <c r="G379" s="103">
        <f>ROUND((SUMIF(скв!B$4:B$12,$B379,скв!I$4:I$12))*_1!E$28,2)</f>
        <v>0</v>
      </c>
      <c r="H379" s="103">
        <f>ROUND((SUMIF(скв!K$4:K$12,$B379,скв!R$4:R$12))*_1!F$28,2)</f>
        <v>0</v>
      </c>
      <c r="I379" s="334">
        <f t="shared" si="61"/>
        <v>0</v>
      </c>
      <c r="J379" s="103">
        <f>ROUND((SUMIF(скв!T$4:T$12,$B379,скв!AA$4:AA$12))*_1!H$28,2)</f>
        <v>0</v>
      </c>
      <c r="K379" s="119">
        <f>ROUND((SUMIF(скв!AC$4:AC$12,$B379,скв!AJ$4:AJ$12))*_1!I$28,2)</f>
        <v>0</v>
      </c>
      <c r="L379"/>
      <c r="P379" s="124">
        <f t="shared" si="55"/>
        <v>0</v>
      </c>
      <c r="Q379" s="125"/>
      <c r="R379" s="125"/>
    </row>
    <row r="380" spans="1:18" s="103" customFormat="1" ht="15" customHeight="1" x14ac:dyDescent="0.45">
      <c r="A380" s="401"/>
      <c r="B380" s="213" t="str">
        <f>грунты!B$16</f>
        <v>супесь пластичная, водонасыщенная до 10% щебня</v>
      </c>
      <c r="D380" s="1" t="s">
        <v>120</v>
      </c>
      <c r="E380" s="334">
        <f t="shared" si="62"/>
        <v>0</v>
      </c>
      <c r="F380" s="334">
        <f t="shared" si="60"/>
        <v>0</v>
      </c>
      <c r="G380" s="103">
        <f>ROUND((SUMIF(скв!B$4:B$12,$B380,скв!I$4:I$12))*_1!E$28,2)</f>
        <v>0</v>
      </c>
      <c r="H380" s="103">
        <f>ROUND((SUMIF(скв!K$4:K$12,$B380,скв!R$4:R$12))*_1!F$28,2)</f>
        <v>0</v>
      </c>
      <c r="I380" s="334">
        <f t="shared" si="61"/>
        <v>0</v>
      </c>
      <c r="J380" s="103">
        <f>ROUND((SUMIF(скв!T$4:T$12,$B380,скв!AA$4:AA$12))*_1!H$28,2)</f>
        <v>0</v>
      </c>
      <c r="K380" s="119">
        <f>ROUND((SUMIF(скв!AC$4:AC$12,$B380,скв!AJ$4:AJ$12))*_1!I$28,2)</f>
        <v>0</v>
      </c>
      <c r="L380"/>
      <c r="P380" s="124">
        <f t="shared" si="55"/>
        <v>0</v>
      </c>
      <c r="Q380" s="125"/>
      <c r="R380" s="125"/>
    </row>
    <row r="381" spans="1:18" s="103" customFormat="1" ht="15" customHeight="1" x14ac:dyDescent="0.45">
      <c r="A381" s="401"/>
      <c r="B381" s="213" t="str">
        <f>грунты!B$17</f>
        <v>супесь пластичная, водонасыщенная до 20% щебня</v>
      </c>
      <c r="D381" s="1" t="s">
        <v>120</v>
      </c>
      <c r="E381" s="334">
        <f t="shared" si="62"/>
        <v>0</v>
      </c>
      <c r="F381" s="334">
        <f t="shared" si="60"/>
        <v>0</v>
      </c>
      <c r="G381" s="103">
        <f>ROUND((SUMIF(скв!B$4:B$12,$B381,скв!I$4:I$12))*_1!E$28,2)</f>
        <v>0</v>
      </c>
      <c r="H381" s="103">
        <f>ROUND((SUMIF(скв!K$4:K$12,$B381,скв!R$4:R$12))*_1!F$28,2)</f>
        <v>0</v>
      </c>
      <c r="I381" s="334">
        <f t="shared" si="61"/>
        <v>0</v>
      </c>
      <c r="J381" s="103">
        <f>ROUND((SUMIF(скв!T$4:T$12,$B381,скв!AA$4:AA$12))*_1!H$28,2)</f>
        <v>0</v>
      </c>
      <c r="K381" s="119">
        <f>ROUND((SUMIF(скв!AC$4:AC$12,$B381,скв!AJ$4:AJ$12))*_1!I$28,2)</f>
        <v>0</v>
      </c>
      <c r="L381"/>
      <c r="P381" s="124">
        <f t="shared" si="55"/>
        <v>0</v>
      </c>
      <c r="Q381" s="125"/>
      <c r="R381" s="125"/>
    </row>
    <row r="382" spans="1:18" s="103" customFormat="1" ht="15" customHeight="1" x14ac:dyDescent="0.45">
      <c r="A382" s="401"/>
      <c r="B382" s="213" t="str">
        <f>грунты!B$23</f>
        <v>глина мягкая, тугопластичная</v>
      </c>
      <c r="D382" s="1" t="s">
        <v>120</v>
      </c>
      <c r="E382" s="334">
        <f t="shared" si="62"/>
        <v>0</v>
      </c>
      <c r="F382" s="334">
        <f t="shared" si="60"/>
        <v>0</v>
      </c>
      <c r="G382" s="103">
        <f>ROUND((SUMIF(скв!B$4:B$12,$B382,скв!I$4:I$12))*_1!E$28,2)</f>
        <v>0</v>
      </c>
      <c r="H382" s="103">
        <f>ROUND((SUMIF(скв!K$4:K$12,$B382,скв!R$4:R$12))*_1!F$28,2)</f>
        <v>0</v>
      </c>
      <c r="I382" s="334">
        <f t="shared" si="61"/>
        <v>0</v>
      </c>
      <c r="J382" s="103">
        <f>ROUND((SUMIF(скв!T$4:T$12,$B382,скв!AA$4:AA$12))*_1!H$28,2)</f>
        <v>0</v>
      </c>
      <c r="K382" s="119">
        <f>ROUND((SUMIF(скв!AC$4:AC$12,$B382,скв!AJ$4:AJ$12))*_1!I$28,2)</f>
        <v>0</v>
      </c>
      <c r="L382"/>
      <c r="P382" s="124">
        <f t="shared" si="55"/>
        <v>0</v>
      </c>
      <c r="Q382" s="125"/>
      <c r="R382" s="125"/>
    </row>
    <row r="383" spans="1:18" s="103" customFormat="1" ht="15" customHeight="1" x14ac:dyDescent="0.45">
      <c r="A383" s="401"/>
      <c r="B383" s="213" t="str">
        <f>грунты!B$46</f>
        <v>торф с корнями, до 10% щебня</v>
      </c>
      <c r="D383" s="1" t="s">
        <v>120</v>
      </c>
      <c r="E383" s="334">
        <f t="shared" si="62"/>
        <v>0</v>
      </c>
      <c r="F383" s="334">
        <f t="shared" si="60"/>
        <v>0</v>
      </c>
      <c r="G383" s="103">
        <f>ROUND((SUMIF(скв!B$4:B$12,$B383,скв!I$4:I$12))*_1!E$28,2)</f>
        <v>0</v>
      </c>
      <c r="H383" s="103">
        <f>ROUND((SUMIF(скв!K$4:K$12,$B383,скв!R$4:R$12))*_1!F$28,2)</f>
        <v>0</v>
      </c>
      <c r="I383" s="334">
        <f t="shared" si="61"/>
        <v>0</v>
      </c>
      <c r="J383" s="103">
        <f>ROUND((SUMIF(скв!T$4:T$12,$B383,скв!AA$4:AA$12))*_1!H$28,2)</f>
        <v>0</v>
      </c>
      <c r="K383" s="119">
        <f>ROUND((SUMIF(скв!AC$4:AC$12,$B383,скв!AJ$4:AJ$12))*_1!I$28,2)</f>
        <v>0</v>
      </c>
      <c r="L383"/>
      <c r="P383" s="124">
        <f t="shared" si="55"/>
        <v>0</v>
      </c>
      <c r="Q383" s="125"/>
      <c r="R383" s="125"/>
    </row>
    <row r="384" spans="1:18" s="103" customFormat="1" ht="15" customHeight="1" x14ac:dyDescent="0.45">
      <c r="A384" s="401" t="s">
        <v>318</v>
      </c>
      <c r="B384" s="213" t="str">
        <f>грунты!B$6</f>
        <v>песок с щебнем 20-30%</v>
      </c>
      <c r="D384" s="1" t="s">
        <v>120</v>
      </c>
      <c r="E384" s="334">
        <f t="shared" si="62"/>
        <v>0</v>
      </c>
      <c r="F384" s="334">
        <f t="shared" si="60"/>
        <v>0</v>
      </c>
      <c r="G384" s="103">
        <f>ROUND((SUMIF(скв!B$4:B$12,$B384,скв!I$4:I$12))*_1!E$28,2)</f>
        <v>0</v>
      </c>
      <c r="H384" s="103">
        <f>ROUND((SUMIF(скв!K$4:K$12,$B384,скв!R$4:R$12))*_1!F$28,2)</f>
        <v>0</v>
      </c>
      <c r="I384" s="334">
        <f t="shared" si="61"/>
        <v>0</v>
      </c>
      <c r="J384" s="103">
        <f>ROUND((SUMIF(скв!T$4:T$12,$B384,скв!AA$4:AA$12))*_1!H$28,2)</f>
        <v>0</v>
      </c>
      <c r="K384" s="119">
        <f>ROUND((SUMIF(скв!AC$4:AC$12,$B384,скв!AJ$4:AJ$12))*_1!I$28,2)</f>
        <v>0</v>
      </c>
      <c r="L384"/>
      <c r="P384" s="124">
        <f t="shared" si="55"/>
        <v>0</v>
      </c>
      <c r="Q384" s="125"/>
      <c r="R384" s="125"/>
    </row>
    <row r="385" spans="1:18" s="103" customFormat="1" ht="15" customHeight="1" x14ac:dyDescent="0.45">
      <c r="A385" s="401"/>
      <c r="B385" s="213" t="str">
        <f>грунты!B$12</f>
        <v>суглинок тугопластичный более 20% щебня</v>
      </c>
      <c r="D385" s="1" t="s">
        <v>120</v>
      </c>
      <c r="E385" s="334">
        <f t="shared" si="62"/>
        <v>0</v>
      </c>
      <c r="F385" s="334">
        <f t="shared" si="60"/>
        <v>0</v>
      </c>
      <c r="G385" s="103">
        <f>ROUND((SUMIF(скв!B$4:B$12,$B385,скв!I$4:I$12))*_1!E$28,2)</f>
        <v>0</v>
      </c>
      <c r="H385" s="103">
        <f>ROUND((SUMIF(скв!K$4:K$12,$B385,скв!R$4:R$12))*_1!F$28,2)</f>
        <v>0</v>
      </c>
      <c r="I385" s="334">
        <f t="shared" si="61"/>
        <v>0</v>
      </c>
      <c r="J385" s="103">
        <f>ROUND((SUMIF(скв!T$4:T$12,$B385,скв!AA$4:AA$12))*_1!H$28,2)</f>
        <v>0</v>
      </c>
      <c r="K385" s="119">
        <f>ROUND((SUMIF(скв!AC$4:AC$12,$B385,скв!AJ$4:AJ$12))*_1!I$28,2)</f>
        <v>0</v>
      </c>
      <c r="L385"/>
      <c r="P385" s="124">
        <f t="shared" si="55"/>
        <v>0</v>
      </c>
      <c r="Q385" s="125"/>
      <c r="R385" s="125"/>
    </row>
    <row r="386" spans="1:18" s="103" customFormat="1" ht="15" customHeight="1" x14ac:dyDescent="0.45">
      <c r="A386" s="401"/>
      <c r="B386" s="213" t="str">
        <f>грунты!B$13</f>
        <v>суглинок полутвердый, твердый</v>
      </c>
      <c r="D386" s="1" t="s">
        <v>120</v>
      </c>
      <c r="E386" s="334">
        <f t="shared" si="62"/>
        <v>0</v>
      </c>
      <c r="F386" s="334">
        <f t="shared" si="60"/>
        <v>0</v>
      </c>
      <c r="G386" s="103">
        <f>ROUND((SUMIF(скв!B$4:B$12,$B386,скв!I$4:I$12))*_1!E$28,2)</f>
        <v>0</v>
      </c>
      <c r="H386" s="103">
        <f>ROUND((SUMIF(скв!K$4:K$12,$B386,скв!R$4:R$12))*_1!F$28,2)</f>
        <v>0</v>
      </c>
      <c r="I386" s="334">
        <f t="shared" si="61"/>
        <v>0</v>
      </c>
      <c r="J386" s="103">
        <f>ROUND((SUMIF(скв!T$4:T$12,$B386,скв!AA$4:AA$12))*_1!H$28,2)</f>
        <v>0</v>
      </c>
      <c r="K386" s="119">
        <f>ROUND((SUMIF(скв!AC$4:AC$12,$B386,скв!AJ$4:AJ$12))*_1!I$28,2)</f>
        <v>0</v>
      </c>
      <c r="L386"/>
      <c r="P386" s="124">
        <f t="shared" si="55"/>
        <v>0</v>
      </c>
      <c r="Q386" s="125"/>
      <c r="R386" s="125"/>
    </row>
    <row r="387" spans="1:18" s="103" customFormat="1" ht="15" customHeight="1" x14ac:dyDescent="0.45">
      <c r="A387" s="401"/>
      <c r="B387" s="213" t="str">
        <f>грунты!B$18</f>
        <v>супесь пластичная с валунами</v>
      </c>
      <c r="D387" s="1" t="s">
        <v>120</v>
      </c>
      <c r="E387" s="334">
        <f t="shared" si="62"/>
        <v>0</v>
      </c>
      <c r="F387" s="334">
        <f t="shared" si="60"/>
        <v>0</v>
      </c>
      <c r="G387" s="103">
        <f>ROUND((SUMIF(скв!B$4:B$12,$B387,скв!I$4:I$12))*_1!E$28,2)</f>
        <v>0</v>
      </c>
      <c r="H387" s="103">
        <f>ROUND((SUMIF(скв!K$4:K$12,$B387,скв!R$4:R$12))*_1!F$28,2)</f>
        <v>0</v>
      </c>
      <c r="I387" s="334">
        <f t="shared" si="61"/>
        <v>0</v>
      </c>
      <c r="J387" s="103">
        <f>ROUND((SUMIF(скв!T$4:T$12,$B387,скв!AA$4:AA$12))*_1!H$28,2)</f>
        <v>0</v>
      </c>
      <c r="K387" s="119">
        <f>ROUND((SUMIF(скв!AC$4:AC$12,$B387,скв!AJ$4:AJ$12))*_1!I$28,2)</f>
        <v>0</v>
      </c>
      <c r="L387"/>
      <c r="P387" s="124">
        <f t="shared" si="55"/>
        <v>0</v>
      </c>
      <c r="Q387" s="125"/>
      <c r="R387" s="125"/>
    </row>
    <row r="388" spans="1:18" s="103" customFormat="1" ht="15" customHeight="1" x14ac:dyDescent="0.45">
      <c r="A388" s="401"/>
      <c r="B388" s="213" t="str">
        <f>грунты!B$19</f>
        <v>супесь твердая</v>
      </c>
      <c r="D388" s="1" t="s">
        <v>120</v>
      </c>
      <c r="E388" s="334">
        <f t="shared" si="62"/>
        <v>0</v>
      </c>
      <c r="F388" s="334">
        <f t="shared" si="60"/>
        <v>0</v>
      </c>
      <c r="G388" s="103">
        <f>ROUND((SUMIF(скв!B$4:B$12,$B388,скв!I$4:I$12))*_1!E$28,2)</f>
        <v>0</v>
      </c>
      <c r="H388" s="103">
        <f>ROUND((SUMIF(скв!K$4:K$12,$B388,скв!R$4:R$12))*_1!F$28,2)</f>
        <v>0</v>
      </c>
      <c r="I388" s="334">
        <f t="shared" si="61"/>
        <v>0</v>
      </c>
      <c r="J388" s="103">
        <f>ROUND((SUMIF(скв!T$4:T$12,$B388,скв!AA$4:AA$12))*_1!H$28,2)</f>
        <v>0</v>
      </c>
      <c r="K388" s="119">
        <f>ROUND((SUMIF(скв!AC$4:AC$12,$B388,скв!AJ$4:AJ$12))*_1!I$28,2)</f>
        <v>0</v>
      </c>
      <c r="L388"/>
      <c r="P388" s="124">
        <f t="shared" si="55"/>
        <v>0</v>
      </c>
      <c r="Q388" s="125"/>
      <c r="R388" s="125"/>
    </row>
    <row r="389" spans="1:18" s="103" customFormat="1" ht="15" customHeight="1" x14ac:dyDescent="0.45">
      <c r="A389" s="401"/>
      <c r="B389" s="213" t="str">
        <f>грунты!B$24</f>
        <v>глина мягкопластичная</v>
      </c>
      <c r="D389" s="1" t="s">
        <v>120</v>
      </c>
      <c r="E389" s="334">
        <f t="shared" si="62"/>
        <v>0</v>
      </c>
      <c r="F389" s="334">
        <f t="shared" si="60"/>
        <v>0</v>
      </c>
      <c r="G389" s="103">
        <f>ROUND((SUMIF(скв!B$4:B$12,$B389,скв!I$4:I$12))*_1!E$28,2)</f>
        <v>0</v>
      </c>
      <c r="H389" s="103">
        <f>ROUND((SUMIF(скв!K$4:K$12,$B389,скв!R$4:R$12))*_1!F$28,2)</f>
        <v>0</v>
      </c>
      <c r="I389" s="334">
        <f t="shared" si="61"/>
        <v>0</v>
      </c>
      <c r="J389" s="103">
        <f>ROUND((SUMIF(скв!T$4:T$12,$B389,скв!AA$4:AA$12))*_1!H$28,2)</f>
        <v>0</v>
      </c>
      <c r="K389" s="119">
        <f>ROUND((SUMIF(скв!AC$4:AC$12,$B389,скв!AJ$4:AJ$12))*_1!I$28,2)</f>
        <v>0</v>
      </c>
      <c r="L389"/>
      <c r="P389" s="124">
        <f t="shared" si="55"/>
        <v>0</v>
      </c>
      <c r="Q389" s="125"/>
      <c r="R389" s="125"/>
    </row>
    <row r="390" spans="1:18" s="103" customFormat="1" ht="15" customHeight="1" x14ac:dyDescent="0.45">
      <c r="A390" s="401"/>
      <c r="B390" s="213" t="str">
        <f>грунты!B$25</f>
        <v>глина полутвердая</v>
      </c>
      <c r="D390" s="1" t="s">
        <v>120</v>
      </c>
      <c r="E390" s="334">
        <f t="shared" si="62"/>
        <v>53.9</v>
      </c>
      <c r="F390" s="334">
        <f t="shared" si="60"/>
        <v>0</v>
      </c>
      <c r="G390" s="103">
        <f>ROUND((SUMIF(скв!B$4:B$12,$B390,скв!I$4:I$12))*_1!E$28,2)</f>
        <v>0.33</v>
      </c>
      <c r="H390" s="103">
        <f>ROUND((SUMIF(скв!K$4:K$12,$B390,скв!R$4:R$12))*_1!F$28,2)</f>
        <v>0.41</v>
      </c>
      <c r="I390" s="334">
        <f t="shared" si="61"/>
        <v>53.9</v>
      </c>
      <c r="J390" s="103">
        <f>ROUND((SUMIF(скв!T$4:T$12,$B390,скв!AA$4:AA$12))*_1!H$28,2)</f>
        <v>2.94</v>
      </c>
      <c r="K390" s="119">
        <f>ROUND((SUMIF(скв!AC$4:AC$12,$B390,скв!AJ$4:AJ$12))*_1!I$28,2)</f>
        <v>3.05</v>
      </c>
      <c r="L390"/>
      <c r="P390" s="124">
        <f t="shared" si="55"/>
        <v>1</v>
      </c>
      <c r="Q390" s="125"/>
      <c r="R390" s="125"/>
    </row>
    <row r="391" spans="1:18" s="103" customFormat="1" ht="15" customHeight="1" x14ac:dyDescent="0.45">
      <c r="A391" s="401"/>
      <c r="B391" s="213" t="str">
        <f>грунты!B$42</f>
        <v>мергель низкой прочности</v>
      </c>
      <c r="D391" s="1" t="s">
        <v>120</v>
      </c>
      <c r="E391" s="334">
        <f t="shared" si="62"/>
        <v>0</v>
      </c>
      <c r="F391" s="334">
        <f t="shared" si="60"/>
        <v>0</v>
      </c>
      <c r="G391" s="103">
        <f>ROUND((SUMIF(скв!B$4:B$12,$B391,скв!I$4:I$12))*_1!E$28,2)</f>
        <v>0</v>
      </c>
      <c r="H391" s="103">
        <f>ROUND((SUMIF(скв!K$4:K$12,$B391,скв!R$4:R$12))*_1!F$28,2)</f>
        <v>0</v>
      </c>
      <c r="I391" s="334">
        <f t="shared" si="61"/>
        <v>0</v>
      </c>
      <c r="J391" s="103">
        <f>ROUND((SUMIF(скв!T$4:T$12,$B391,скв!AA$4:AA$12))*_1!H$28,2)</f>
        <v>0</v>
      </c>
      <c r="K391" s="119">
        <f>ROUND((SUMIF(скв!AC$4:AC$12,$B391,скв!AJ$4:AJ$12))*_1!I$28,2)</f>
        <v>0</v>
      </c>
      <c r="L391"/>
      <c r="P391" s="124">
        <f t="shared" si="55"/>
        <v>0</v>
      </c>
      <c r="Q391" s="125"/>
      <c r="R391" s="125"/>
    </row>
    <row r="392" spans="1:18" s="103" customFormat="1" ht="15" customHeight="1" x14ac:dyDescent="0.45">
      <c r="A392" s="401"/>
      <c r="B392" s="213" t="str">
        <f>грунты!B$47</f>
        <v>торф  с щебнем более 10%</v>
      </c>
      <c r="D392" s="1" t="s">
        <v>120</v>
      </c>
      <c r="E392" s="334">
        <f t="shared" si="62"/>
        <v>0</v>
      </c>
      <c r="F392" s="334">
        <f t="shared" si="60"/>
        <v>0</v>
      </c>
      <c r="G392" s="103">
        <f>ROUND((SUMIF(скв!B$4:B$12,$B392,скв!I$4:I$12))*_1!E$28,2)</f>
        <v>0</v>
      </c>
      <c r="H392" s="103">
        <f>ROUND((SUMIF(скв!K$4:K$12,$B392,скв!R$4:R$12))*_1!F$28,2)</f>
        <v>0</v>
      </c>
      <c r="I392" s="334">
        <f t="shared" si="61"/>
        <v>0</v>
      </c>
      <c r="J392" s="103">
        <f>ROUND((SUMIF(скв!T$4:T$12,$B392,скв!AA$4:AA$12))*_1!H$28,2)</f>
        <v>0</v>
      </c>
      <c r="K392" s="119">
        <f>ROUND((SUMIF(скв!AC$4:AC$12,$B392,скв!AJ$4:AJ$12))*_1!I$28,2)</f>
        <v>0</v>
      </c>
      <c r="L392"/>
      <c r="P392" s="124">
        <f t="shared" si="55"/>
        <v>0</v>
      </c>
      <c r="Q392" s="125"/>
      <c r="R392" s="125"/>
    </row>
    <row r="393" spans="1:18" s="103" customFormat="1" ht="15" customHeight="1" x14ac:dyDescent="0.45">
      <c r="A393" s="401" t="s">
        <v>319</v>
      </c>
      <c r="B393" s="213" t="str">
        <f>грунты!B$7</f>
        <v>песок с щебнем более 30%</v>
      </c>
      <c r="D393" s="1" t="s">
        <v>120</v>
      </c>
      <c r="E393" s="334">
        <f t="shared" si="62"/>
        <v>0</v>
      </c>
      <c r="F393" s="334">
        <f t="shared" si="60"/>
        <v>0</v>
      </c>
      <c r="G393" s="103">
        <f>ROUND((SUMIF(скв!B$4:B$12,$B393,скв!I$4:I$12))*_1!E$28,2)</f>
        <v>0</v>
      </c>
      <c r="H393" s="103">
        <f>ROUND((SUMIF(скв!K$4:K$12,$B393,скв!R$4:R$12))*_1!F$28,2)</f>
        <v>0</v>
      </c>
      <c r="I393" s="334">
        <f t="shared" si="61"/>
        <v>0</v>
      </c>
      <c r="J393" s="103">
        <f>ROUND((SUMIF(скв!T$4:T$12,$B393,скв!AA$4:AA$12))*_1!H$28,2)</f>
        <v>0</v>
      </c>
      <c r="K393" s="119">
        <f>ROUND((SUMIF(скв!AC$4:AC$12,$B393,скв!AJ$4:AJ$12))*_1!I$28,2)</f>
        <v>0</v>
      </c>
      <c r="L393"/>
      <c r="P393" s="124">
        <f t="shared" si="55"/>
        <v>0</v>
      </c>
      <c r="Q393" s="125"/>
      <c r="R393" s="125"/>
    </row>
    <row r="394" spans="1:18" s="103" customFormat="1" ht="15" customHeight="1" x14ac:dyDescent="0.45">
      <c r="A394" s="401"/>
      <c r="B394" s="213" t="str">
        <f>грунты!B$14</f>
        <v>суглинок с валунами</v>
      </c>
      <c r="D394" s="1" t="s">
        <v>120</v>
      </c>
      <c r="E394" s="334">
        <f t="shared" si="62"/>
        <v>0</v>
      </c>
      <c r="F394" s="334">
        <f t="shared" si="60"/>
        <v>0</v>
      </c>
      <c r="G394" s="103">
        <f>ROUND((SUMIF(скв!B$4:B$12,$B394,скв!I$4:I$12))*_1!E$28,2)</f>
        <v>0</v>
      </c>
      <c r="H394" s="103">
        <f>ROUND((SUMIF(скв!K$4:K$12,$B394,скв!R$4:R$12))*_1!F$28,2)</f>
        <v>0</v>
      </c>
      <c r="I394" s="334">
        <f t="shared" si="61"/>
        <v>0</v>
      </c>
      <c r="J394" s="103">
        <f>ROUND((SUMIF(скв!T$4:T$12,$B394,скв!AA$4:AA$12))*_1!H$28,2)</f>
        <v>0</v>
      </c>
      <c r="K394" s="119">
        <f>ROUND((SUMIF(скв!AC$4:AC$12,$B394,скв!AJ$4:AJ$12))*_1!I$28,2)</f>
        <v>0</v>
      </c>
      <c r="L394"/>
      <c r="P394" s="124">
        <f t="shared" si="55"/>
        <v>0</v>
      </c>
      <c r="Q394" s="125"/>
      <c r="R394" s="125"/>
    </row>
    <row r="395" spans="1:18" s="103" customFormat="1" ht="15" customHeight="1" x14ac:dyDescent="0.45">
      <c r="A395" s="401"/>
      <c r="B395" s="213" t="str">
        <f>грунты!B$20</f>
        <v>супесь твердая с валунами</v>
      </c>
      <c r="D395" s="1" t="s">
        <v>120</v>
      </c>
      <c r="E395" s="334">
        <f t="shared" si="62"/>
        <v>0</v>
      </c>
      <c r="F395" s="334">
        <f t="shared" si="60"/>
        <v>0</v>
      </c>
      <c r="G395" s="103">
        <f>ROUND((SUMIF(скв!B$4:B$12,$B395,скв!I$4:I$12))*_1!E$28,2)</f>
        <v>0</v>
      </c>
      <c r="H395" s="103">
        <f>ROUND((SUMIF(скв!K$4:K$12,$B395,скв!R$4:R$12))*_1!F$28,2)</f>
        <v>0</v>
      </c>
      <c r="I395" s="334">
        <f t="shared" si="61"/>
        <v>0</v>
      </c>
      <c r="J395" s="103">
        <f>ROUND((SUMIF(скв!T$4:T$12,$B395,скв!AA$4:AA$12))*_1!H$28,2)</f>
        <v>0</v>
      </c>
      <c r="K395" s="119">
        <f>ROUND((SUMIF(скв!AC$4:AC$12,$B395,скв!AJ$4:AJ$12))*_1!I$28,2)</f>
        <v>0</v>
      </c>
      <c r="L395"/>
      <c r="P395" s="124">
        <f t="shared" si="55"/>
        <v>0</v>
      </c>
      <c r="Q395" s="125"/>
      <c r="R395" s="125"/>
    </row>
    <row r="396" spans="1:18" s="103" customFormat="1" ht="15" customHeight="1" x14ac:dyDescent="0.45">
      <c r="A396" s="401"/>
      <c r="B396" s="213" t="str">
        <f>грунты!B$21</f>
        <v>супесь твердая с более 30% щебня</v>
      </c>
      <c r="D396" s="1" t="s">
        <v>120</v>
      </c>
      <c r="E396" s="334">
        <f t="shared" si="62"/>
        <v>0</v>
      </c>
      <c r="F396" s="334">
        <f t="shared" si="60"/>
        <v>0</v>
      </c>
      <c r="G396" s="103">
        <f>ROUND((SUMIF(скв!B$4:B$12,$B396,скв!I$4:I$12))*_1!E$28,2)</f>
        <v>0</v>
      </c>
      <c r="H396" s="103">
        <f>ROUND((SUMIF(скв!K$4:K$12,$B396,скв!R$4:R$12))*_1!F$28,2)</f>
        <v>0</v>
      </c>
      <c r="I396" s="334">
        <f t="shared" si="61"/>
        <v>0</v>
      </c>
      <c r="J396" s="103">
        <f>ROUND((SUMIF(скв!T$4:T$12,$B396,скв!AA$4:AA$12))*_1!H$28,2)</f>
        <v>0</v>
      </c>
      <c r="K396" s="119">
        <f>ROUND((SUMIF(скв!AC$4:AC$12,$B396,скв!AJ$4:AJ$12))*_1!I$28,2)</f>
        <v>0</v>
      </c>
      <c r="L396"/>
      <c r="P396" s="124">
        <f t="shared" si="55"/>
        <v>0</v>
      </c>
      <c r="Q396" s="125"/>
      <c r="R396" s="125"/>
    </row>
    <row r="397" spans="1:18" s="103" customFormat="1" ht="15" customHeight="1" x14ac:dyDescent="0.45">
      <c r="A397" s="401"/>
      <c r="B397" s="213" t="str">
        <f>грунты!B$26</f>
        <v>глина мягкопластичная с щебнем более 10%</v>
      </c>
      <c r="D397" s="1" t="s">
        <v>120</v>
      </c>
      <c r="E397" s="334">
        <f t="shared" si="62"/>
        <v>0</v>
      </c>
      <c r="F397" s="334">
        <f t="shared" si="60"/>
        <v>0</v>
      </c>
      <c r="G397" s="103">
        <f>ROUND((SUMIF(скв!B$4:B$12,$B397,скв!I$4:I$12))*_1!E$28,2)</f>
        <v>0</v>
      </c>
      <c r="H397" s="103">
        <f>ROUND((SUMIF(скв!K$4:K$12,$B397,скв!R$4:R$12))*_1!F$28,2)</f>
        <v>0</v>
      </c>
      <c r="I397" s="334">
        <f t="shared" si="61"/>
        <v>0</v>
      </c>
      <c r="J397" s="103">
        <f>ROUND((SUMIF(скв!T$4:T$12,$B397,скв!AA$4:AA$12))*_1!H$28,2)</f>
        <v>0</v>
      </c>
      <c r="K397" s="119">
        <f>ROUND((SUMIF(скв!AC$4:AC$12,$B397,скв!AJ$4:AJ$12))*_1!I$28,2)</f>
        <v>0</v>
      </c>
      <c r="L397"/>
      <c r="P397" s="124">
        <f t="shared" si="55"/>
        <v>0</v>
      </c>
      <c r="Q397" s="125"/>
      <c r="R397" s="125"/>
    </row>
    <row r="398" spans="1:18" s="103" customFormat="1" ht="15" customHeight="1" x14ac:dyDescent="0.45">
      <c r="A398" s="401"/>
      <c r="B398" s="213" t="str">
        <f>грунты!B$27</f>
        <v>глина полутвердая с щебнем более 10%</v>
      </c>
      <c r="D398" s="1" t="s">
        <v>120</v>
      </c>
      <c r="E398" s="334">
        <f t="shared" si="62"/>
        <v>0</v>
      </c>
      <c r="F398" s="334">
        <f t="shared" si="60"/>
        <v>0</v>
      </c>
      <c r="G398" s="103">
        <f>ROUND((SUMIF(скв!B$4:B$12,$B398,скв!I$4:I$12))*_1!E$28,2)</f>
        <v>0</v>
      </c>
      <c r="H398" s="103">
        <f>ROUND((SUMIF(скв!K$4:K$12,$B398,скв!R$4:R$12))*_1!F$28,2)</f>
        <v>0</v>
      </c>
      <c r="I398" s="334">
        <f t="shared" si="61"/>
        <v>0</v>
      </c>
      <c r="J398" s="103">
        <f>ROUND((SUMIF(скв!T$4:T$12,$B398,скв!AA$4:AA$12))*_1!H$28,2)</f>
        <v>0</v>
      </c>
      <c r="K398" s="119">
        <f>ROUND((SUMIF(скв!AC$4:AC$12,$B398,скв!AJ$4:AJ$12))*_1!I$28,2)</f>
        <v>0</v>
      </c>
      <c r="L398"/>
      <c r="P398" s="124">
        <f t="shared" si="55"/>
        <v>0</v>
      </c>
      <c r="Q398" s="125"/>
      <c r="R398" s="125"/>
    </row>
    <row r="399" spans="1:18" s="103" customFormat="1" ht="15" customHeight="1" x14ac:dyDescent="0.45">
      <c r="A399" s="401"/>
      <c r="B399" s="213" t="str">
        <f>грунты!B$28</f>
        <v>глина текучепластичная</v>
      </c>
      <c r="D399" s="1" t="s">
        <v>120</v>
      </c>
      <c r="E399" s="334">
        <f t="shared" si="62"/>
        <v>0</v>
      </c>
      <c r="F399" s="334">
        <f t="shared" si="60"/>
        <v>0</v>
      </c>
      <c r="G399" s="103">
        <f>ROUND((SUMIF(скв!B$4:B$12,$B399,скв!I$4:I$12))*_1!E$28,2)</f>
        <v>0</v>
      </c>
      <c r="H399" s="103">
        <f>ROUND((SUMIF(скв!K$4:K$12,$B399,скв!R$4:R$12))*_1!F$28,2)</f>
        <v>0</v>
      </c>
      <c r="I399" s="334">
        <f t="shared" si="61"/>
        <v>0</v>
      </c>
      <c r="J399" s="103">
        <f>ROUND((SUMIF(скв!T$4:T$12,$B399,скв!AA$4:AA$12))*_1!H$28,2)</f>
        <v>0</v>
      </c>
      <c r="K399" s="119">
        <f>ROUND((SUMIF(скв!AC$4:AC$12,$B399,скв!AJ$4:AJ$12))*_1!I$28,2)</f>
        <v>0</v>
      </c>
      <c r="L399"/>
      <c r="P399" s="124">
        <f t="shared" si="55"/>
        <v>0</v>
      </c>
      <c r="Q399" s="125"/>
      <c r="R399" s="125"/>
    </row>
    <row r="400" spans="1:18" s="103" customFormat="1" ht="15" customHeight="1" x14ac:dyDescent="0.45">
      <c r="A400" s="401"/>
      <c r="B400" s="213" t="str">
        <f>грунты!B$29</f>
        <v>глина плотная, с валунами</v>
      </c>
      <c r="D400" s="1" t="s">
        <v>120</v>
      </c>
      <c r="E400" s="334">
        <f t="shared" si="62"/>
        <v>0</v>
      </c>
      <c r="F400" s="334">
        <f t="shared" si="60"/>
        <v>0</v>
      </c>
      <c r="G400" s="103">
        <f>ROUND((SUMIF(скв!B$4:B$12,$B400,скв!I$4:I$12))*_1!E$28,2)</f>
        <v>0</v>
      </c>
      <c r="H400" s="103">
        <f>ROUND((SUMIF(скв!K$4:K$12,$B400,скв!R$4:R$12))*_1!F$28,2)</f>
        <v>0</v>
      </c>
      <c r="I400" s="334">
        <f t="shared" si="61"/>
        <v>0</v>
      </c>
      <c r="J400" s="103">
        <f>ROUND((SUMIF(скв!T$4:T$12,$B400,скв!AA$4:AA$12))*_1!H$28,2)</f>
        <v>0</v>
      </c>
      <c r="K400" s="119">
        <f>ROUND((SUMIF(скв!AC$4:AC$12,$B400,скв!AJ$4:AJ$12))*_1!I$28,2)</f>
        <v>0</v>
      </c>
      <c r="L400"/>
      <c r="P400" s="124">
        <f t="shared" si="55"/>
        <v>0</v>
      </c>
      <c r="Q400" s="125"/>
      <c r="R400" s="125"/>
    </row>
    <row r="401" spans="1:18" s="103" customFormat="1" ht="15" customHeight="1" x14ac:dyDescent="0.45">
      <c r="A401" s="401"/>
      <c r="B401" s="213" t="str">
        <f>грунты!B$32</f>
        <v>бетон слабый</v>
      </c>
      <c r="D401" s="1" t="s">
        <v>120</v>
      </c>
      <c r="E401" s="334">
        <f t="shared" si="62"/>
        <v>0</v>
      </c>
      <c r="F401" s="334">
        <f t="shared" si="60"/>
        <v>0</v>
      </c>
      <c r="G401" s="103">
        <f>ROUND((SUMIF(скв!B$4:B$12,$B401,скв!I$4:I$12))*_1!E$28,2)</f>
        <v>0</v>
      </c>
      <c r="H401" s="103">
        <f>ROUND((SUMIF(скв!K$4:K$12,$B401,скв!R$4:R$12))*_1!F$28,2)</f>
        <v>0</v>
      </c>
      <c r="I401" s="334">
        <f t="shared" si="61"/>
        <v>0</v>
      </c>
      <c r="J401" s="103">
        <f>ROUND((SUMIF(скв!T$4:T$12,$B401,скв!AA$4:AA$12))*_1!H$28,2)</f>
        <v>0</v>
      </c>
      <c r="K401" s="119">
        <f>ROUND((SUMIF(скв!AC$4:AC$12,$B401,скв!AJ$4:AJ$12))*_1!I$28,2)</f>
        <v>0</v>
      </c>
      <c r="L401"/>
      <c r="P401" s="124">
        <f t="shared" si="55"/>
        <v>0</v>
      </c>
      <c r="Q401" s="125"/>
      <c r="R401" s="125"/>
    </row>
    <row r="402" spans="1:18" s="103" customFormat="1" ht="15" customHeight="1" x14ac:dyDescent="0.45">
      <c r="A402" s="401"/>
      <c r="B402" s="213" t="str">
        <f>грунты!B$36</f>
        <v>дресвяный</v>
      </c>
      <c r="D402" s="1" t="s">
        <v>120</v>
      </c>
      <c r="E402" s="334">
        <f t="shared" si="62"/>
        <v>0</v>
      </c>
      <c r="F402" s="334">
        <f t="shared" si="60"/>
        <v>0</v>
      </c>
      <c r="G402" s="103">
        <f>ROUND((SUMIF(скв!B$4:B$12,$B402,скв!I$4:I$12))*_1!E$28,2)</f>
        <v>0</v>
      </c>
      <c r="H402" s="103">
        <f>ROUND((SUMIF(скв!K$4:K$12,$B402,скв!R$4:R$12))*_1!F$28,2)</f>
        <v>0</v>
      </c>
      <c r="I402" s="334">
        <f t="shared" si="61"/>
        <v>0</v>
      </c>
      <c r="J402" s="103">
        <f>ROUND((SUMIF(скв!T$4:T$12,$B402,скв!AA$4:AA$12))*_1!H$28,2)</f>
        <v>0</v>
      </c>
      <c r="K402" s="119">
        <f>ROUND((SUMIF(скв!AC$4:AC$12,$B402,скв!AJ$4:AJ$12))*_1!I$28,2)</f>
        <v>0</v>
      </c>
      <c r="L402"/>
      <c r="P402" s="124">
        <f t="shared" si="55"/>
        <v>0</v>
      </c>
      <c r="Q402" s="125"/>
      <c r="R402" s="125"/>
    </row>
    <row r="403" spans="1:18" s="103" customFormat="1" ht="15" customHeight="1" x14ac:dyDescent="0.45">
      <c r="A403" s="401"/>
      <c r="B403" s="213" t="str">
        <f>грунты!B$37</f>
        <v>известняк сильновыветривывшийся</v>
      </c>
      <c r="D403" s="1" t="s">
        <v>120</v>
      </c>
      <c r="E403" s="334">
        <f t="shared" si="62"/>
        <v>0</v>
      </c>
      <c r="F403" s="334">
        <f t="shared" si="60"/>
        <v>0</v>
      </c>
      <c r="G403" s="103">
        <f>ROUND((SUMIF(скв!B$4:B$12,$B403,скв!I$4:I$12))*_1!E$28,2)</f>
        <v>0</v>
      </c>
      <c r="H403" s="103">
        <f>ROUND((SUMIF(скв!K$4:K$12,$B403,скв!R$4:R$12))*_1!F$28,2)</f>
        <v>0</v>
      </c>
      <c r="I403" s="334">
        <f t="shared" si="61"/>
        <v>0</v>
      </c>
      <c r="J403" s="103">
        <f>ROUND((SUMIF(скв!T$4:T$12,$B403,скв!AA$4:AA$12))*_1!H$28,2)</f>
        <v>0</v>
      </c>
      <c r="K403" s="119">
        <f>ROUND((SUMIF(скв!AC$4:AC$12,$B403,скв!AJ$4:AJ$12))*_1!I$28,2)</f>
        <v>0</v>
      </c>
      <c r="L403"/>
      <c r="P403" s="124">
        <f t="shared" si="55"/>
        <v>0</v>
      </c>
      <c r="Q403" s="125"/>
      <c r="R403" s="125"/>
    </row>
    <row r="404" spans="1:18" s="103" customFormat="1" ht="15" customHeight="1" x14ac:dyDescent="0.45">
      <c r="A404" s="401"/>
      <c r="B404" s="213" t="str">
        <f>грунты!B$43</f>
        <v>мергель малопрочный</v>
      </c>
      <c r="D404" s="1" t="s">
        <v>120</v>
      </c>
      <c r="E404" s="334">
        <f t="shared" si="62"/>
        <v>0</v>
      </c>
      <c r="F404" s="334">
        <f t="shared" si="60"/>
        <v>0</v>
      </c>
      <c r="G404" s="103">
        <f>ROUND((SUMIF(скв!B$4:B$12,$B404,скв!I$4:I$12))*_1!E$28,2)</f>
        <v>0</v>
      </c>
      <c r="H404" s="103">
        <f>ROUND((SUMIF(скв!K$4:K$12,$B404,скв!R$4:R$12))*_1!F$28,2)</f>
        <v>0</v>
      </c>
      <c r="I404" s="334">
        <f t="shared" si="61"/>
        <v>0</v>
      </c>
      <c r="J404" s="103">
        <f>ROUND((SUMIF(скв!T$4:T$12,$B404,скв!AA$4:AA$12))*_1!H$28,2)</f>
        <v>0</v>
      </c>
      <c r="K404" s="119">
        <f>ROUND((SUMIF(скв!AC$4:AC$12,$B404,скв!AJ$4:AJ$12))*_1!I$28,2)</f>
        <v>0</v>
      </c>
      <c r="L404"/>
      <c r="P404" s="124">
        <f t="shared" si="55"/>
        <v>0</v>
      </c>
      <c r="Q404" s="125"/>
      <c r="R404" s="125"/>
    </row>
    <row r="405" spans="1:18" s="103" customFormat="1" ht="15" customHeight="1" x14ac:dyDescent="0.45">
      <c r="A405" s="401" t="s">
        <v>320</v>
      </c>
      <c r="B405" s="213" t="str">
        <f>грунты!B$8</f>
        <v>песок железистый на известк. цементе</v>
      </c>
      <c r="D405" s="1" t="s">
        <v>120</v>
      </c>
      <c r="E405" s="334">
        <f t="shared" si="62"/>
        <v>0</v>
      </c>
      <c r="F405" s="334">
        <f t="shared" si="60"/>
        <v>0</v>
      </c>
      <c r="G405" s="103">
        <f>ROUND((SUMIF(скв!B$4:B$12,$B405,скв!I$4:I$12))*_1!E$28,2)</f>
        <v>0</v>
      </c>
      <c r="H405" s="103">
        <f>ROUND((SUMIF(скв!K$4:K$12,$B405,скв!R$4:R$12))*_1!F$28,2)</f>
        <v>0</v>
      </c>
      <c r="I405" s="334">
        <f t="shared" si="61"/>
        <v>0</v>
      </c>
      <c r="J405" s="103">
        <f>ROUND((SUMIF(скв!T$4:T$12,$B405,скв!AA$4:AA$12))*_1!H$28,2)</f>
        <v>0</v>
      </c>
      <c r="K405" s="119">
        <f>ROUND((SUMIF(скв!AC$4:AC$12,$B405,скв!AJ$4:AJ$12))*_1!I$28,2)</f>
        <v>0</v>
      </c>
      <c r="L405"/>
      <c r="P405" s="124">
        <f t="shared" si="55"/>
        <v>0</v>
      </c>
      <c r="Q405" s="125"/>
      <c r="R405" s="125"/>
    </row>
    <row r="406" spans="1:18" s="103" customFormat="1" ht="15" customHeight="1" x14ac:dyDescent="0.45">
      <c r="A406" s="401"/>
      <c r="B406" s="213" t="str">
        <f>грунты!B$22</f>
        <v>супесь твердая с более 30% щебня и валунами</v>
      </c>
      <c r="D406" s="1" t="s">
        <v>120</v>
      </c>
      <c r="E406" s="334">
        <f t="shared" si="62"/>
        <v>0</v>
      </c>
      <c r="F406" s="334">
        <f t="shared" si="60"/>
        <v>0</v>
      </c>
      <c r="G406" s="103">
        <f>ROUND((SUMIF(скв!B$4:B$12,$B406,скв!I$4:I$12))*_1!E$28,2)</f>
        <v>0</v>
      </c>
      <c r="H406" s="103">
        <f>ROUND((SUMIF(скв!K$4:K$12,$B406,скв!R$4:R$12))*_1!F$28,2)</f>
        <v>0</v>
      </c>
      <c r="I406" s="334">
        <f t="shared" si="61"/>
        <v>0</v>
      </c>
      <c r="J406" s="103">
        <f>ROUND((SUMIF(скв!T$4:T$12,$B406,скв!AA$4:AA$12))*_1!H$28,2)</f>
        <v>0</v>
      </c>
      <c r="K406" s="119">
        <f>ROUND((SUMIF(скв!AC$4:AC$12,$B406,скв!AJ$4:AJ$12))*_1!I$28,2)</f>
        <v>0</v>
      </c>
      <c r="L406"/>
      <c r="P406" s="124">
        <f t="shared" si="55"/>
        <v>0</v>
      </c>
      <c r="Q406" s="125"/>
      <c r="R406" s="125"/>
    </row>
    <row r="407" spans="1:18" s="103" customFormat="1" ht="15" customHeight="1" x14ac:dyDescent="0.45">
      <c r="A407" s="401"/>
      <c r="B407" s="213" t="str">
        <f>грунты!B$30</f>
        <v>глина плотная, твердая</v>
      </c>
      <c r="D407" s="1" t="s">
        <v>120</v>
      </c>
      <c r="E407" s="334">
        <f t="shared" si="62"/>
        <v>66.2</v>
      </c>
      <c r="F407" s="334">
        <f t="shared" si="60"/>
        <v>0</v>
      </c>
      <c r="G407" s="103">
        <f>ROUND((SUMIF(скв!B$4:B$12,$B407,скв!I$4:I$12))*_1!E$28,2)</f>
        <v>0.41</v>
      </c>
      <c r="H407" s="103">
        <f>ROUND((SUMIF(скв!K$4:K$12,$B407,скв!R$4:R$12))*_1!F$28,2)</f>
        <v>0.38</v>
      </c>
      <c r="I407" s="334">
        <f t="shared" si="61"/>
        <v>66.2</v>
      </c>
      <c r="J407" s="103">
        <f>ROUND((SUMIF(скв!T$4:T$12,$B407,скв!AA$4:AA$12))*_1!H$28,2)</f>
        <v>3.62</v>
      </c>
      <c r="K407" s="119">
        <f>ROUND((SUMIF(скв!AC$4:AC$12,$B407,скв!AJ$4:AJ$12))*_1!I$28,2)</f>
        <v>3.73</v>
      </c>
      <c r="L407"/>
      <c r="P407" s="124">
        <f t="shared" si="55"/>
        <v>1</v>
      </c>
      <c r="Q407" s="125"/>
      <c r="R407" s="125"/>
    </row>
    <row r="408" spans="1:18" s="103" customFormat="1" ht="15" customHeight="1" x14ac:dyDescent="0.45">
      <c r="A408" s="401"/>
      <c r="B408" s="213" t="str">
        <f>грунты!B$34</f>
        <v>гравий и галька фр. до 80мм</v>
      </c>
      <c r="D408" s="1" t="s">
        <v>120</v>
      </c>
      <c r="E408" s="334">
        <f t="shared" si="62"/>
        <v>0</v>
      </c>
      <c r="F408" s="334">
        <f t="shared" si="60"/>
        <v>0</v>
      </c>
      <c r="G408" s="103">
        <f>ROUND((SUMIF(скв!B$4:B$12,$B408,скв!I$4:I$12))*_1!E$28,2)</f>
        <v>0</v>
      </c>
      <c r="H408" s="103">
        <f>ROUND((SUMIF(скв!K$4:K$12,$B408,скв!R$4:R$12))*_1!F$28,2)</f>
        <v>0</v>
      </c>
      <c r="I408" s="334">
        <f t="shared" si="61"/>
        <v>0</v>
      </c>
      <c r="J408" s="103">
        <f>ROUND((SUMIF(скв!T$4:T$12,$B408,скв!AA$4:AA$12))*_1!H$28,2)</f>
        <v>0</v>
      </c>
      <c r="K408" s="119">
        <f>ROUND((SUMIF(скв!AC$4:AC$12,$B408,скв!AJ$4:AJ$12))*_1!I$28,2)</f>
        <v>0</v>
      </c>
      <c r="L408"/>
      <c r="P408" s="124">
        <f t="shared" si="55"/>
        <v>0</v>
      </c>
      <c r="Q408" s="125"/>
      <c r="R408" s="125"/>
    </row>
    <row r="409" spans="1:18" s="103" customFormat="1" ht="15" customHeight="1" x14ac:dyDescent="0.45">
      <c r="A409" s="401"/>
      <c r="B409" s="213" t="str">
        <f>грунты!B$38</f>
        <v>известняк малопрочный, выветривывшийся</v>
      </c>
      <c r="D409" s="1" t="s">
        <v>120</v>
      </c>
      <c r="E409" s="334">
        <f t="shared" si="62"/>
        <v>0</v>
      </c>
      <c r="F409" s="334">
        <f t="shared" si="60"/>
        <v>0</v>
      </c>
      <c r="G409" s="103">
        <f>ROUND((SUMIF(скв!B$4:B$12,$B409,скв!I$4:I$12))*_1!E$28,2)</f>
        <v>0</v>
      </c>
      <c r="H409" s="103">
        <f>ROUND((SUMIF(скв!K$4:K$12,$B409,скв!R$4:R$12))*_1!F$28,2)</f>
        <v>0</v>
      </c>
      <c r="I409" s="334">
        <f t="shared" si="61"/>
        <v>0</v>
      </c>
      <c r="J409" s="103">
        <f>ROUND((SUMIF(скв!T$4:T$12,$B409,скв!AA$4:AA$12))*_1!H$28,2)</f>
        <v>0</v>
      </c>
      <c r="K409" s="119">
        <f>ROUND((SUMIF(скв!AC$4:AC$12,$B409,скв!AJ$4:AJ$12))*_1!I$28,2)</f>
        <v>0</v>
      </c>
      <c r="L409"/>
      <c r="P409" s="124">
        <f t="shared" si="55"/>
        <v>0</v>
      </c>
      <c r="Q409" s="125"/>
      <c r="R409" s="125"/>
    </row>
    <row r="410" spans="1:18" s="103" customFormat="1" ht="15" customHeight="1" x14ac:dyDescent="0.45">
      <c r="A410" s="401"/>
      <c r="B410" s="213" t="str">
        <f>грунты!B$44</f>
        <v>мергель прочный</v>
      </c>
      <c r="D410" s="1" t="s">
        <v>120</v>
      </c>
      <c r="E410" s="334">
        <f t="shared" si="62"/>
        <v>0</v>
      </c>
      <c r="F410" s="334">
        <f t="shared" si="60"/>
        <v>0</v>
      </c>
      <c r="G410" s="103">
        <f>ROUND((SUMIF(скв!B$4:B$12,$B410,скв!I$4:I$12))*_1!E$28,2)</f>
        <v>0</v>
      </c>
      <c r="H410" s="103">
        <f>ROUND((SUMIF(скв!K$4:K$12,$B410,скв!R$4:R$12))*_1!F$28,2)</f>
        <v>0</v>
      </c>
      <c r="I410" s="334">
        <f t="shared" si="61"/>
        <v>0</v>
      </c>
      <c r="J410" s="103">
        <f>ROUND((SUMIF(скв!T$4:T$12,$B410,скв!AA$4:AA$12))*_1!H$28,2)</f>
        <v>0</v>
      </c>
      <c r="K410" s="119">
        <f>ROUND((SUMIF(скв!AC$4:AC$12,$B410,скв!AJ$4:AJ$12))*_1!I$28,2)</f>
        <v>0</v>
      </c>
      <c r="L410"/>
      <c r="P410" s="124">
        <f t="shared" si="55"/>
        <v>0</v>
      </c>
      <c r="Q410" s="125"/>
      <c r="R410" s="125"/>
    </row>
    <row r="411" spans="1:18" s="103" customFormat="1" ht="15" customHeight="1" x14ac:dyDescent="0.45">
      <c r="A411" s="401" t="s">
        <v>321</v>
      </c>
      <c r="B411" s="213" t="str">
        <f>грунты!B$31</f>
        <v xml:space="preserve">глина плотная, твердая с доломитами </v>
      </c>
      <c r="D411" s="1" t="s">
        <v>120</v>
      </c>
      <c r="E411" s="334">
        <f t="shared" si="62"/>
        <v>0</v>
      </c>
      <c r="F411" s="334">
        <f t="shared" si="60"/>
        <v>0</v>
      </c>
      <c r="G411" s="103">
        <f>ROUND((SUMIF(скв!B$4:B$12,$B411,скв!I$4:I$12))*_1!E$28,2)</f>
        <v>0</v>
      </c>
      <c r="H411" s="103">
        <f>ROUND((SUMIF(скв!K$4:K$12,$B411,скв!R$4:R$12))*_1!F$28,2)</f>
        <v>0</v>
      </c>
      <c r="I411" s="334">
        <f t="shared" si="61"/>
        <v>0</v>
      </c>
      <c r="J411" s="103">
        <f>ROUND((SUMIF(скв!T$4:T$12,$B411,скв!AA$4:AA$12))*_1!H$28,2)</f>
        <v>0</v>
      </c>
      <c r="K411" s="119">
        <f>ROUND((SUMIF(скв!AC$4:AC$12,$B411,скв!AJ$4:AJ$12))*_1!I$28,2)</f>
        <v>0</v>
      </c>
      <c r="L411"/>
      <c r="P411" s="124">
        <f t="shared" si="55"/>
        <v>0</v>
      </c>
      <c r="Q411" s="125"/>
      <c r="R411" s="125"/>
    </row>
    <row r="412" spans="1:18" s="103" customFormat="1" ht="15" customHeight="1" x14ac:dyDescent="0.45">
      <c r="A412" s="401"/>
      <c r="B412" s="213" t="str">
        <f>грунты!B$35</f>
        <v>галечник крупный с валунами</v>
      </c>
      <c r="D412" s="1" t="s">
        <v>120</v>
      </c>
      <c r="E412" s="334">
        <f t="shared" si="62"/>
        <v>0</v>
      </c>
      <c r="F412" s="334">
        <f t="shared" si="60"/>
        <v>0</v>
      </c>
      <c r="G412" s="103">
        <f>ROUND((SUMIF(скв!B$4:B$12,$B412,скв!I$4:I$12))*_1!E$28,2)</f>
        <v>0</v>
      </c>
      <c r="H412" s="103">
        <f>ROUND((SUMIF(скв!K$4:K$12,$B412,скв!R$4:R$12))*_1!F$28,2)</f>
        <v>0</v>
      </c>
      <c r="I412" s="334">
        <f t="shared" si="61"/>
        <v>0</v>
      </c>
      <c r="J412" s="103">
        <f>ROUND((SUMIF(скв!T$4:T$12,$B412,скв!AA$4:AA$12))*_1!H$28,2)</f>
        <v>0</v>
      </c>
      <c r="K412" s="119">
        <f>ROUND((SUMIF(скв!AC$4:AC$12,$B412,скв!AJ$4:AJ$12))*_1!I$28,2)</f>
        <v>0</v>
      </c>
      <c r="L412"/>
      <c r="P412" s="124">
        <f t="shared" si="55"/>
        <v>0</v>
      </c>
      <c r="Q412" s="125"/>
      <c r="R412" s="125"/>
    </row>
    <row r="413" spans="1:18" s="103" customFormat="1" ht="15" customHeight="1" x14ac:dyDescent="0.45">
      <c r="A413" s="401"/>
      <c r="B413" s="213" t="str">
        <f>грунты!B$39</f>
        <v>известняк средней прочности</v>
      </c>
      <c r="D413" s="1" t="s">
        <v>120</v>
      </c>
      <c r="E413" s="334">
        <f t="shared" si="62"/>
        <v>0</v>
      </c>
      <c r="F413" s="334">
        <f t="shared" si="60"/>
        <v>0</v>
      </c>
      <c r="G413" s="103">
        <f>ROUND((SUMIF(скв!B$4:B$12,$B413,скв!I$4:I$12))*_1!E$28,2)</f>
        <v>0</v>
      </c>
      <c r="H413" s="103">
        <f>ROUND((SUMIF(скв!K$4:K$12,$B413,скв!R$4:R$12))*_1!F$28,2)</f>
        <v>0</v>
      </c>
      <c r="I413" s="334">
        <f t="shared" si="61"/>
        <v>0</v>
      </c>
      <c r="J413" s="103">
        <f>ROUND((SUMIF(скв!T$4:T$12,$B413,скв!AA$4:AA$12))*_1!H$28,2)</f>
        <v>0</v>
      </c>
      <c r="K413" s="119">
        <f>ROUND((SUMIF(скв!AC$4:AC$12,$B413,скв!AJ$4:AJ$12))*_1!I$28,2)</f>
        <v>0</v>
      </c>
      <c r="L413"/>
      <c r="P413" s="124">
        <f t="shared" si="55"/>
        <v>0</v>
      </c>
      <c r="Q413" s="125"/>
      <c r="R413" s="125"/>
    </row>
    <row r="414" spans="1:18" s="103" customFormat="1" ht="15" customHeight="1" x14ac:dyDescent="0.45">
      <c r="A414" s="401" t="s">
        <v>322</v>
      </c>
      <c r="B414" s="213" t="str">
        <f>грунты!B$33</f>
        <v>бетон крепкий</v>
      </c>
      <c r="D414" s="1" t="s">
        <v>120</v>
      </c>
      <c r="E414" s="334">
        <f t="shared" si="62"/>
        <v>0</v>
      </c>
      <c r="F414" s="334">
        <f t="shared" si="60"/>
        <v>0</v>
      </c>
      <c r="G414" s="103">
        <f>ROUND((SUMIF(скв!B$4:B$12,$B414,скв!I$4:I$12))*_1!E$28,2)</f>
        <v>0</v>
      </c>
      <c r="H414" s="103">
        <f>ROUND((SUMIF(скв!K$4:K$12,$B414,скв!R$4:R$12))*_1!F$28,2)</f>
        <v>0</v>
      </c>
      <c r="I414" s="334">
        <f t="shared" si="61"/>
        <v>0</v>
      </c>
      <c r="J414" s="103">
        <f>ROUND((SUMIF(скв!T$4:T$12,$B414,скв!AA$4:AA$12))*_1!H$28,2)</f>
        <v>0</v>
      </c>
      <c r="K414" s="119">
        <f>ROUND((SUMIF(скв!AC$4:AC$12,$B414,скв!AJ$4:AJ$12))*_1!I$28,2)</f>
        <v>0</v>
      </c>
      <c r="L414"/>
      <c r="P414" s="124">
        <f t="shared" si="55"/>
        <v>0</v>
      </c>
      <c r="Q414" s="125"/>
      <c r="R414" s="125"/>
    </row>
    <row r="415" spans="1:18" s="103" customFormat="1" ht="15" customHeight="1" x14ac:dyDescent="0.45">
      <c r="A415" s="401"/>
      <c r="B415" s="213" t="str">
        <f>грунты!B$40</f>
        <v>известняк окварцованный</v>
      </c>
      <c r="D415" s="1" t="s">
        <v>120</v>
      </c>
      <c r="E415" s="334">
        <f t="shared" si="62"/>
        <v>0</v>
      </c>
      <c r="F415" s="334">
        <f t="shared" si="60"/>
        <v>0</v>
      </c>
      <c r="G415" s="103">
        <f>ROUND((SUMIF(скв!B$4:B$12,$B415,скв!I$4:I$12))*_1!E$28,2)</f>
        <v>0</v>
      </c>
      <c r="H415" s="103">
        <f>ROUND((SUMIF(скв!K$4:K$12,$B415,скв!R$4:R$12))*_1!F$28,2)</f>
        <v>0</v>
      </c>
      <c r="I415" s="334">
        <f t="shared" si="61"/>
        <v>0</v>
      </c>
      <c r="J415" s="103">
        <f>ROUND((SUMIF(скв!T$4:T$12,$B415,скв!AA$4:AA$12))*_1!H$28,2)</f>
        <v>0</v>
      </c>
      <c r="K415" s="119">
        <f>ROUND((SUMIF(скв!AC$4:AC$12,$B415,скв!AJ$4:AJ$12))*_1!I$28,2)</f>
        <v>0</v>
      </c>
      <c r="L415"/>
      <c r="P415" s="124">
        <f t="shared" si="55"/>
        <v>0</v>
      </c>
      <c r="Q415" s="125"/>
      <c r="R415" s="125"/>
    </row>
    <row r="416" spans="1:18" s="103" customFormat="1" ht="15" customHeight="1" x14ac:dyDescent="0.45">
      <c r="A416" s="83" t="s">
        <v>26</v>
      </c>
      <c r="B416" s="169" t="s">
        <v>338</v>
      </c>
      <c r="C416" s="52" t="s">
        <v>145</v>
      </c>
      <c r="D416" s="260">
        <v>3</v>
      </c>
      <c r="E416" s="334" t="e">
        <f t="shared" ca="1" si="62"/>
        <v>#REF!</v>
      </c>
      <c r="F416" s="334">
        <f t="shared" ca="1" si="60"/>
        <v>0</v>
      </c>
      <c r="G416" s="10">
        <f ca="1">IF(_1!E$27&gt;0,INDIRECT(ADDRESS(5,4,,,_1!E$23)),0)</f>
        <v>0</v>
      </c>
      <c r="H416" s="10">
        <f ca="1">IF(_1!F$27&gt;0,INDIRECT(ADDRESS(5,4,,,_1!F$23)),0)</f>
        <v>0</v>
      </c>
      <c r="I416" s="334" t="e">
        <f t="shared" ca="1" si="61"/>
        <v>#REF!</v>
      </c>
      <c r="J416" s="10" t="e">
        <f ca="1">IF(_1!H$27&gt;0,INDIRECT(ADDRESS(5,4,,,_1!H$23)),0)</f>
        <v>#REF!</v>
      </c>
      <c r="K416" s="230" t="e">
        <f ca="1">IF(_1!I$27&gt;0,INDIRECT(ADDRESS(5,4,,,_1!I$23)),0)</f>
        <v>#REF!</v>
      </c>
      <c r="L416"/>
      <c r="M416" s="122"/>
      <c r="P416" s="124" t="e">
        <f t="shared" ca="1" si="55"/>
        <v>#REF!</v>
      </c>
      <c r="Q416" s="125"/>
      <c r="R416" s="125"/>
    </row>
    <row r="417" spans="1:18" s="103" customFormat="1" ht="15" customHeight="1" x14ac:dyDescent="0.45">
      <c r="A417" s="83" t="s">
        <v>26</v>
      </c>
      <c r="B417" s="169" t="s">
        <v>338</v>
      </c>
      <c r="C417" s="52" t="s">
        <v>145</v>
      </c>
      <c r="D417" s="260">
        <v>4</v>
      </c>
      <c r="E417" s="334" t="e">
        <f t="shared" ca="1" si="62"/>
        <v>#REF!</v>
      </c>
      <c r="F417" s="334">
        <f t="shared" ca="1" si="60"/>
        <v>0</v>
      </c>
      <c r="G417" s="10">
        <f ca="1">IF(_1!E$27&gt;0,INDIRECT(ADDRESS(6,4,,,_1!E$23)),0)</f>
        <v>0</v>
      </c>
      <c r="H417" s="10">
        <f ca="1">IF(_1!F$27&gt;0,INDIRECT(ADDRESS(6,4,,,_1!F$23)),0)</f>
        <v>0</v>
      </c>
      <c r="I417" s="334" t="e">
        <f t="shared" ca="1" si="61"/>
        <v>#REF!</v>
      </c>
      <c r="J417" s="10" t="e">
        <f ca="1">IF(_1!H$27&gt;0,INDIRECT(ADDRESS(6,4,,,_1!H$23)),0)</f>
        <v>#REF!</v>
      </c>
      <c r="K417" s="230" t="e">
        <f ca="1">IF(_1!I$27&gt;0,INDIRECT(ADDRESS(6,4,,,_1!I$23)),0)</f>
        <v>#REF!</v>
      </c>
      <c r="L417"/>
      <c r="P417" s="124" t="e">
        <f t="shared" ca="1" si="55"/>
        <v>#REF!</v>
      </c>
      <c r="Q417" s="125"/>
      <c r="R417" s="125"/>
    </row>
    <row r="418" spans="1:18" s="103" customFormat="1" ht="15" customHeight="1" x14ac:dyDescent="0.45">
      <c r="A418" s="83" t="s">
        <v>26</v>
      </c>
      <c r="B418" s="169" t="s">
        <v>338</v>
      </c>
      <c r="C418" s="52" t="s">
        <v>145</v>
      </c>
      <c r="D418" s="260">
        <v>5</v>
      </c>
      <c r="E418" s="334" t="e">
        <f t="shared" ca="1" si="62"/>
        <v>#REF!</v>
      </c>
      <c r="F418" s="334">
        <f t="shared" ca="1" si="60"/>
        <v>0</v>
      </c>
      <c r="G418" s="10">
        <f ca="1">IF(_1!E$27&gt;0,INDIRECT(ADDRESS(7,4,,,_1!E$23)),0)</f>
        <v>0</v>
      </c>
      <c r="H418" s="10">
        <f ca="1">IF(_1!F$27&gt;0,INDIRECT(ADDRESS(7,4,,,_1!F$23)),0)</f>
        <v>0</v>
      </c>
      <c r="I418" s="334" t="e">
        <f t="shared" ca="1" si="61"/>
        <v>#REF!</v>
      </c>
      <c r="J418" s="10" t="e">
        <f ca="1">IF(_1!H$27&gt;0,INDIRECT(ADDRESS(7,4,,,_1!H$23)),0)</f>
        <v>#REF!</v>
      </c>
      <c r="K418" s="230" t="e">
        <f ca="1">IF(_1!I$27&gt;0,INDIRECT(ADDRESS(7,4,,,_1!I$23)),0)</f>
        <v>#REF!</v>
      </c>
      <c r="L418"/>
      <c r="P418" s="124" t="e">
        <f t="shared" ca="1" si="55"/>
        <v>#REF!</v>
      </c>
      <c r="Q418" s="125"/>
      <c r="R418" s="125"/>
    </row>
    <row r="419" spans="1:18" s="103" customFormat="1" ht="15" customHeight="1" x14ac:dyDescent="0.45">
      <c r="A419" s="58" t="s">
        <v>26</v>
      </c>
      <c r="B419" s="168" t="s">
        <v>192</v>
      </c>
      <c r="C419" s="52" t="s">
        <v>145</v>
      </c>
      <c r="D419" s="261">
        <v>6</v>
      </c>
      <c r="E419" s="334" t="e">
        <f t="shared" ca="1" si="62"/>
        <v>#REF!</v>
      </c>
      <c r="F419" s="334">
        <f t="shared" ca="1" si="60"/>
        <v>0</v>
      </c>
      <c r="G419" s="10">
        <f ca="1">IF(_1!E$27&gt;0,INDIRECT(ADDRESS(8,3,,,_1!E$23)),0)</f>
        <v>0</v>
      </c>
      <c r="H419" s="10">
        <f ca="1">IF(_1!F$27&gt;0,INDIRECT(ADDRESS(8,3,,,_1!F$23)),0)</f>
        <v>0</v>
      </c>
      <c r="I419" s="334" t="e">
        <f t="shared" ca="1" si="61"/>
        <v>#REF!</v>
      </c>
      <c r="J419" s="10" t="e">
        <f ca="1">IF(_1!H$27&gt;0,INDIRECT(ADDRESS(8,3,,,_1!H$23)),0)</f>
        <v>#REF!</v>
      </c>
      <c r="K419" s="230" t="e">
        <f ca="1">IF(_1!I$27&gt;0,INDIRECT(ADDRESS(8,3,,,_1!I$23)),0)</f>
        <v>#REF!</v>
      </c>
      <c r="L419"/>
      <c r="P419" s="124" t="e">
        <f t="shared" ca="1" si="55"/>
        <v>#REF!</v>
      </c>
      <c r="Q419" s="125"/>
      <c r="R419" s="125"/>
    </row>
    <row r="420" spans="1:18" s="103" customFormat="1" ht="15" customHeight="1" x14ac:dyDescent="0.45">
      <c r="A420" s="58" t="s">
        <v>26</v>
      </c>
      <c r="B420" s="168" t="s">
        <v>192</v>
      </c>
      <c r="C420" s="52" t="s">
        <v>145</v>
      </c>
      <c r="D420" s="261">
        <v>8</v>
      </c>
      <c r="E420" s="334" t="e">
        <f t="shared" ca="1" si="62"/>
        <v>#REF!</v>
      </c>
      <c r="F420" s="334">
        <f t="shared" ca="1" si="60"/>
        <v>0</v>
      </c>
      <c r="G420" s="10">
        <f ca="1">IF(_1!E$27&gt;0,INDIRECT(ADDRESS(9,3,,,_1!E$23)),0)</f>
        <v>0</v>
      </c>
      <c r="H420" s="10">
        <f ca="1">IF(_1!F$27&gt;0,INDIRECT(ADDRESS(9,3,,,_1!F$23)),0)</f>
        <v>0</v>
      </c>
      <c r="I420" s="334" t="e">
        <f t="shared" ca="1" si="61"/>
        <v>#REF!</v>
      </c>
      <c r="J420" s="10" t="e">
        <f ca="1">IF(_1!H$27&gt;0,INDIRECT(ADDRESS(9,3,,,_1!H$23)),0)</f>
        <v>#REF!</v>
      </c>
      <c r="K420" s="230" t="e">
        <f ca="1">IF(_1!I$27&gt;0,INDIRECT(ADDRESS(9,3,,,_1!I$23)),0)</f>
        <v>#REF!</v>
      </c>
      <c r="L420"/>
      <c r="P420" s="124" t="e">
        <f t="shared" ca="1" si="55"/>
        <v>#REF!</v>
      </c>
      <c r="Q420" s="125"/>
      <c r="R420" s="125"/>
    </row>
    <row r="421" spans="1:18" s="103" customFormat="1" ht="15" customHeight="1" x14ac:dyDescent="0.45">
      <c r="A421" s="58" t="s">
        <v>26</v>
      </c>
      <c r="B421" s="168" t="s">
        <v>192</v>
      </c>
      <c r="C421" s="52" t="s">
        <v>145</v>
      </c>
      <c r="D421" s="261">
        <v>10</v>
      </c>
      <c r="E421" s="334" t="e">
        <f t="shared" ca="1" si="62"/>
        <v>#REF!</v>
      </c>
      <c r="F421" s="334">
        <f t="shared" ca="1" si="60"/>
        <v>0</v>
      </c>
      <c r="G421" s="10">
        <f ca="1">IF(_1!E$27&gt;0,INDIRECT(ADDRESS(10,3,,,_1!E$23)),0)</f>
        <v>0</v>
      </c>
      <c r="H421" s="10">
        <f ca="1">IF(_1!F$27&gt;0,INDIRECT(ADDRESS(10,3,,,_1!F$23)),0)</f>
        <v>0</v>
      </c>
      <c r="I421" s="334" t="e">
        <f t="shared" ca="1" si="61"/>
        <v>#REF!</v>
      </c>
      <c r="J421" s="10" t="e">
        <f ca="1">IF(_1!H$27&gt;0,INDIRECT(ADDRESS(10,3,,,_1!H$23)),0)</f>
        <v>#REF!</v>
      </c>
      <c r="K421" s="230" t="e">
        <f ca="1">IF(_1!I$27&gt;0,INDIRECT(ADDRESS(10,3,,,_1!I$23)),0)</f>
        <v>#REF!</v>
      </c>
      <c r="L421"/>
      <c r="P421" s="124" t="e">
        <f t="shared" ca="1" si="55"/>
        <v>#REF!</v>
      </c>
      <c r="Q421" s="125"/>
      <c r="R421" s="125"/>
    </row>
    <row r="422" spans="1:18" s="103" customFormat="1" ht="15" customHeight="1" x14ac:dyDescent="0.45">
      <c r="A422" s="58" t="s">
        <v>26</v>
      </c>
      <c r="B422" s="168" t="s">
        <v>192</v>
      </c>
      <c r="C422" s="52" t="s">
        <v>145</v>
      </c>
      <c r="D422" s="261">
        <v>12</v>
      </c>
      <c r="E422" s="334" t="e">
        <f t="shared" ca="1" si="62"/>
        <v>#REF!</v>
      </c>
      <c r="F422" s="334">
        <f t="shared" ca="1" si="60"/>
        <v>0</v>
      </c>
      <c r="G422" s="10">
        <f ca="1">IF(_1!E$27&gt;0,INDIRECT(ADDRESS(11,3,,,_1!E$23)),0)</f>
        <v>0</v>
      </c>
      <c r="H422" s="10">
        <f ca="1">IF(_1!F$27&gt;0,INDIRECT(ADDRESS(11,3,,,_1!F$23)),0)</f>
        <v>0</v>
      </c>
      <c r="I422" s="334" t="e">
        <f t="shared" ca="1" si="61"/>
        <v>#REF!</v>
      </c>
      <c r="J422" s="10" t="e">
        <f ca="1">IF(_1!H$27&gt;0,INDIRECT(ADDRESS(11,3,,,_1!H$23)),0)</f>
        <v>#REF!</v>
      </c>
      <c r="K422" s="230" t="e">
        <f ca="1">IF(_1!I$27&gt;0,INDIRECT(ADDRESS(11,3,,,_1!I$23)),0)</f>
        <v>#REF!</v>
      </c>
      <c r="L422"/>
      <c r="P422" s="124" t="e">
        <f t="shared" ca="1" si="55"/>
        <v>#REF!</v>
      </c>
      <c r="Q422" s="125"/>
      <c r="R422" s="125"/>
    </row>
    <row r="423" spans="1:18" s="103" customFormat="1" ht="15" customHeight="1" x14ac:dyDescent="0.45">
      <c r="A423" s="58" t="s">
        <v>26</v>
      </c>
      <c r="B423" s="168" t="s">
        <v>192</v>
      </c>
      <c r="C423" s="52" t="s">
        <v>145</v>
      </c>
      <c r="D423" s="261">
        <v>14</v>
      </c>
      <c r="E423" s="334" t="e">
        <f t="shared" ca="1" si="62"/>
        <v>#REF!</v>
      </c>
      <c r="F423" s="334">
        <f t="shared" ca="1" si="60"/>
        <v>0</v>
      </c>
      <c r="G423" s="10">
        <f ca="1">IF(_1!E$27&gt;0,INDIRECT(ADDRESS(12,3,,,_1!E$23)),0)</f>
        <v>0</v>
      </c>
      <c r="H423" s="10">
        <f ca="1">IF(_1!F$27&gt;0,INDIRECT(ADDRESS(12,3,,,_1!F$23)),0)</f>
        <v>0</v>
      </c>
      <c r="I423" s="334" t="e">
        <f t="shared" ca="1" si="61"/>
        <v>#REF!</v>
      </c>
      <c r="J423" s="10" t="e">
        <f ca="1">IF(_1!H$27&gt;0,INDIRECT(ADDRESS(12,3,,,_1!H$23)),0)</f>
        <v>#REF!</v>
      </c>
      <c r="K423" s="230" t="e">
        <f ca="1">IF(_1!I$27&gt;0,INDIRECT(ADDRESS(12,3,,,_1!I$23)),0)</f>
        <v>#REF!</v>
      </c>
      <c r="L423"/>
      <c r="P423" s="124" t="e">
        <f t="shared" ca="1" si="55"/>
        <v>#REF!</v>
      </c>
      <c r="Q423" s="125"/>
      <c r="R423" s="125"/>
    </row>
    <row r="424" spans="1:18" s="103" customFormat="1" ht="15" customHeight="1" x14ac:dyDescent="0.45">
      <c r="A424" s="58" t="s">
        <v>26</v>
      </c>
      <c r="B424" s="168" t="s">
        <v>192</v>
      </c>
      <c r="C424" s="52" t="s">
        <v>145</v>
      </c>
      <c r="D424" s="261">
        <v>16</v>
      </c>
      <c r="E424" s="334" t="e">
        <f t="shared" ca="1" si="62"/>
        <v>#REF!</v>
      </c>
      <c r="F424" s="334">
        <f t="shared" ca="1" si="60"/>
        <v>0</v>
      </c>
      <c r="G424" s="10">
        <f ca="1">IF(_1!E$27&gt;0,INDIRECT(ADDRESS(13,3,,,_1!E$23)),0)</f>
        <v>0</v>
      </c>
      <c r="H424" s="10">
        <f ca="1">IF(_1!F$27&gt;0,INDIRECT(ADDRESS(13,3,,,_1!F$23)),0)</f>
        <v>0</v>
      </c>
      <c r="I424" s="334" t="e">
        <f t="shared" ca="1" si="61"/>
        <v>#REF!</v>
      </c>
      <c r="J424" s="10" t="e">
        <f ca="1">IF(_1!H$27&gt;0,INDIRECT(ADDRESS(13,3,,,_1!H$23)),0)</f>
        <v>#REF!</v>
      </c>
      <c r="K424" s="230" t="e">
        <f ca="1">IF(_1!I$27&gt;0,INDIRECT(ADDRESS(13,3,,,_1!I$23)),0)</f>
        <v>#REF!</v>
      </c>
      <c r="L424"/>
      <c r="P424" s="124" t="e">
        <f t="shared" ca="1" si="55"/>
        <v>#REF!</v>
      </c>
      <c r="Q424" s="125"/>
      <c r="R424" s="125"/>
    </row>
    <row r="425" spans="1:18" s="103" customFormat="1" ht="15" customHeight="1" x14ac:dyDescent="0.45">
      <c r="A425" s="58" t="s">
        <v>26</v>
      </c>
      <c r="B425" s="168" t="s">
        <v>192</v>
      </c>
      <c r="C425" s="52" t="s">
        <v>145</v>
      </c>
      <c r="D425" s="261">
        <v>18</v>
      </c>
      <c r="E425" s="334" t="e">
        <f t="shared" ca="1" si="62"/>
        <v>#REF!</v>
      </c>
      <c r="F425" s="334">
        <f t="shared" ca="1" si="60"/>
        <v>0</v>
      </c>
      <c r="G425" s="10">
        <f ca="1">IF(_1!E$27&gt;0,INDIRECT(ADDRESS(14,3,,,_1!E$23)),0)</f>
        <v>0</v>
      </c>
      <c r="H425" s="10">
        <f ca="1">IF(_1!F$27&gt;0,INDIRECT(ADDRESS(14,3,,,_1!F$23)),0)</f>
        <v>0</v>
      </c>
      <c r="I425" s="334" t="e">
        <f t="shared" ca="1" si="61"/>
        <v>#REF!</v>
      </c>
      <c r="J425" s="10" t="e">
        <f ca="1">IF(_1!H$27&gt;0,INDIRECT(ADDRESS(14,3,,,_1!H$23)),0)</f>
        <v>#REF!</v>
      </c>
      <c r="K425" s="230" t="e">
        <f ca="1">IF(_1!I$27&gt;0,INDIRECT(ADDRESS(14,3,,,_1!I$23)),0)</f>
        <v>#REF!</v>
      </c>
      <c r="L425"/>
      <c r="P425" s="124" t="e">
        <f t="shared" ca="1" si="55"/>
        <v>#REF!</v>
      </c>
      <c r="Q425" s="125"/>
      <c r="R425" s="125"/>
    </row>
    <row r="426" spans="1:18" s="103" customFormat="1" ht="15" customHeight="1" x14ac:dyDescent="0.45">
      <c r="A426" s="58" t="s">
        <v>26</v>
      </c>
      <c r="B426" s="168" t="s">
        <v>192</v>
      </c>
      <c r="C426" s="52" t="s">
        <v>145</v>
      </c>
      <c r="D426" s="261">
        <v>20</v>
      </c>
      <c r="E426" s="334" t="e">
        <f t="shared" ca="1" si="62"/>
        <v>#REF!</v>
      </c>
      <c r="F426" s="334">
        <f t="shared" ca="1" si="60"/>
        <v>0</v>
      </c>
      <c r="G426" s="10">
        <f ca="1">IF(_1!E$27&gt;0,INDIRECT(ADDRESS(15,3,,,_1!E$23)),0)</f>
        <v>0</v>
      </c>
      <c r="H426" s="10">
        <f ca="1">IF(_1!F$27&gt;0,INDIRECT(ADDRESS(15,3,,,_1!F$23)),0)</f>
        <v>0</v>
      </c>
      <c r="I426" s="334" t="e">
        <f t="shared" ca="1" si="61"/>
        <v>#REF!</v>
      </c>
      <c r="J426" s="10" t="e">
        <f ca="1">IF(_1!H$27&gt;0,INDIRECT(ADDRESS(15,3,,,_1!H$23)),0)</f>
        <v>#REF!</v>
      </c>
      <c r="K426" s="230" t="e">
        <f ca="1">IF(_1!I$27&gt;0,INDIRECT(ADDRESS(15,3,,,_1!I$23)),0)</f>
        <v>#REF!</v>
      </c>
      <c r="L426"/>
      <c r="P426" s="124" t="e">
        <f t="shared" ca="1" si="55"/>
        <v>#REF!</v>
      </c>
      <c r="Q426" s="125"/>
      <c r="R426" s="125"/>
    </row>
    <row r="427" spans="1:18" s="103" customFormat="1" ht="15" customHeight="1" x14ac:dyDescent="0.45">
      <c r="A427" s="58" t="s">
        <v>26</v>
      </c>
      <c r="B427" s="168" t="s">
        <v>192</v>
      </c>
      <c r="C427" s="52" t="s">
        <v>145</v>
      </c>
      <c r="D427" s="261">
        <v>22</v>
      </c>
      <c r="E427" s="334" t="e">
        <f t="shared" ca="1" si="62"/>
        <v>#REF!</v>
      </c>
      <c r="F427" s="334">
        <f t="shared" ca="1" si="60"/>
        <v>0</v>
      </c>
      <c r="G427" s="10">
        <f ca="1">IF(_1!E$27&gt;0,INDIRECT(ADDRESS(16,3,,,_1!E$23)),0)</f>
        <v>0</v>
      </c>
      <c r="H427" s="10">
        <f ca="1">IF(_1!F$27&gt;0,INDIRECT(ADDRESS(16,3,,,_1!F$23)),0)</f>
        <v>0</v>
      </c>
      <c r="I427" s="334" t="e">
        <f t="shared" ca="1" si="61"/>
        <v>#REF!</v>
      </c>
      <c r="J427" s="10" t="e">
        <f ca="1">IF(_1!H$27&gt;0,INDIRECT(ADDRESS(16,3,,,_1!H$23)),0)</f>
        <v>#REF!</v>
      </c>
      <c r="K427" s="230" t="e">
        <f ca="1">IF(_1!I$27&gt;0,INDIRECT(ADDRESS(16,3,,,_1!I$23)),0)</f>
        <v>#REF!</v>
      </c>
      <c r="L427"/>
      <c r="P427" s="124" t="e">
        <f t="shared" ca="1" si="55"/>
        <v>#REF!</v>
      </c>
      <c r="Q427" s="125"/>
      <c r="R427" s="125"/>
    </row>
    <row r="428" spans="1:18" s="103" customFormat="1" ht="15" customHeight="1" x14ac:dyDescent="0.45">
      <c r="A428" s="58" t="s">
        <v>26</v>
      </c>
      <c r="B428" s="168" t="s">
        <v>192</v>
      </c>
      <c r="C428" s="52" t="s">
        <v>145</v>
      </c>
      <c r="D428" s="261">
        <v>25</v>
      </c>
      <c r="E428" s="334" t="e">
        <f t="shared" ca="1" si="62"/>
        <v>#REF!</v>
      </c>
      <c r="F428" s="334">
        <f t="shared" ca="1" si="60"/>
        <v>0</v>
      </c>
      <c r="G428" s="10">
        <f ca="1">IF(_1!E$27&gt;0,INDIRECT(ADDRESS(17,3,,,_1!E$23)),0)</f>
        <v>0</v>
      </c>
      <c r="H428" s="10">
        <f ca="1">IF(_1!F$27&gt;0,INDIRECT(ADDRESS(17,3,,,_1!F$23)),0)</f>
        <v>0</v>
      </c>
      <c r="I428" s="334" t="e">
        <f t="shared" ca="1" si="61"/>
        <v>#REF!</v>
      </c>
      <c r="J428" s="10" t="e">
        <f ca="1">IF(_1!H$27&gt;0,INDIRECT(ADDRESS(17,3,,,_1!H$23)),0)</f>
        <v>#REF!</v>
      </c>
      <c r="K428" s="230" t="e">
        <f ca="1">IF(_1!I$27&gt;0,INDIRECT(ADDRESS(17,3,,,_1!I$23)),0)</f>
        <v>#REF!</v>
      </c>
      <c r="L428"/>
      <c r="P428" s="124" t="e">
        <f t="shared" ca="1" si="55"/>
        <v>#REF!</v>
      </c>
      <c r="Q428" s="125"/>
      <c r="R428" s="125"/>
    </row>
    <row r="429" spans="1:18" s="103" customFormat="1" ht="15" customHeight="1" x14ac:dyDescent="0.45">
      <c r="A429" s="58" t="s">
        <v>26</v>
      </c>
      <c r="B429" s="168" t="s">
        <v>192</v>
      </c>
      <c r="C429" s="52" t="s">
        <v>145</v>
      </c>
      <c r="D429" s="261">
        <v>28</v>
      </c>
      <c r="E429" s="334" t="e">
        <f t="shared" ca="1" si="62"/>
        <v>#REF!</v>
      </c>
      <c r="F429" s="334">
        <f t="shared" ca="1" si="60"/>
        <v>0</v>
      </c>
      <c r="G429" s="10">
        <f ca="1">IF(_1!E$27&gt;0,INDIRECT(ADDRESS(18,3,,,_1!E$23)),0)</f>
        <v>0</v>
      </c>
      <c r="H429" s="10">
        <f ca="1">IF(_1!F$27&gt;0,INDIRECT(ADDRESS(18,3,,,_1!F$23)),0)</f>
        <v>0</v>
      </c>
      <c r="I429" s="334" t="e">
        <f t="shared" ca="1" si="61"/>
        <v>#REF!</v>
      </c>
      <c r="J429" s="10" t="e">
        <f ca="1">IF(_1!H$27&gt;0,INDIRECT(ADDRESS(18,3,,,_1!H$23)),0)</f>
        <v>#REF!</v>
      </c>
      <c r="K429" s="230" t="e">
        <f ca="1">IF(_1!I$27&gt;0,INDIRECT(ADDRESS(18,3,,,_1!I$23)),0)</f>
        <v>#REF!</v>
      </c>
      <c r="L429"/>
      <c r="P429" s="124" t="e">
        <f t="shared" ca="1" si="55"/>
        <v>#REF!</v>
      </c>
      <c r="Q429" s="125"/>
      <c r="R429" s="125"/>
    </row>
    <row r="430" spans="1:18" s="103" customFormat="1" ht="15" customHeight="1" x14ac:dyDescent="0.45">
      <c r="A430" s="58" t="s">
        <v>26</v>
      </c>
      <c r="B430" s="168" t="s">
        <v>192</v>
      </c>
      <c r="C430" s="52" t="s">
        <v>145</v>
      </c>
      <c r="D430" s="261">
        <v>32</v>
      </c>
      <c r="E430" s="334" t="e">
        <f t="shared" ca="1" si="62"/>
        <v>#REF!</v>
      </c>
      <c r="F430" s="334">
        <f t="shared" ca="1" si="60"/>
        <v>0</v>
      </c>
      <c r="G430" s="10">
        <f ca="1">IF(_1!E$27&gt;0,INDIRECT(ADDRESS(19,3,,,_1!E$23)),0)</f>
        <v>0</v>
      </c>
      <c r="H430" s="10">
        <f ca="1">IF(_1!F$27&gt;0,INDIRECT(ADDRESS(19,3,,,_1!F$23)),0)</f>
        <v>0</v>
      </c>
      <c r="I430" s="334" t="e">
        <f t="shared" ca="1" si="61"/>
        <v>#REF!</v>
      </c>
      <c r="J430" s="10" t="e">
        <f ca="1">IF(_1!H$27&gt;0,INDIRECT(ADDRESS(19,3,,,_1!H$23)),0)</f>
        <v>#REF!</v>
      </c>
      <c r="K430" s="230" t="e">
        <f ca="1">IF(_1!I$27&gt;0,INDIRECT(ADDRESS(19,3,,,_1!I$23)),0)</f>
        <v>#REF!</v>
      </c>
      <c r="L430"/>
      <c r="P430" s="124" t="e">
        <f t="shared" ca="1" si="55"/>
        <v>#REF!</v>
      </c>
      <c r="Q430" s="125"/>
      <c r="R430" s="125"/>
    </row>
    <row r="431" spans="1:18" s="103" customFormat="1" ht="15" customHeight="1" x14ac:dyDescent="0.45">
      <c r="A431" s="58" t="s">
        <v>26</v>
      </c>
      <c r="B431" s="168" t="s">
        <v>192</v>
      </c>
      <c r="C431" s="52" t="s">
        <v>145</v>
      </c>
      <c r="D431" s="261">
        <v>36</v>
      </c>
      <c r="E431" s="334" t="e">
        <f t="shared" ca="1" si="62"/>
        <v>#REF!</v>
      </c>
      <c r="F431" s="334">
        <f t="shared" ca="1" si="60"/>
        <v>0</v>
      </c>
      <c r="G431" s="10">
        <f ca="1">IF(_1!E$27&gt;0,INDIRECT(ADDRESS(20,3,,,_1!E$23)),0)</f>
        <v>0</v>
      </c>
      <c r="H431" s="10">
        <f ca="1">IF(_1!F$27&gt;0,INDIRECT(ADDRESS(20,3,,,_1!F$23)),0)</f>
        <v>0</v>
      </c>
      <c r="I431" s="334" t="e">
        <f t="shared" ca="1" si="61"/>
        <v>#REF!</v>
      </c>
      <c r="J431" s="10" t="e">
        <f ca="1">IF(_1!H$27&gt;0,INDIRECT(ADDRESS(20,3,,,_1!H$23)),0)</f>
        <v>#REF!</v>
      </c>
      <c r="K431" s="230" t="e">
        <f ca="1">IF(_1!I$27&gt;0,INDIRECT(ADDRESS(20,3,,,_1!I$23)),0)</f>
        <v>#REF!</v>
      </c>
      <c r="L431"/>
      <c r="P431" s="124" t="e">
        <f t="shared" ca="1" si="55"/>
        <v>#REF!</v>
      </c>
      <c r="Q431" s="125"/>
      <c r="R431" s="125"/>
    </row>
    <row r="432" spans="1:18" s="103" customFormat="1" ht="15" customHeight="1" x14ac:dyDescent="0.45">
      <c r="A432" s="58" t="s">
        <v>26</v>
      </c>
      <c r="B432" s="168" t="s">
        <v>192</v>
      </c>
      <c r="C432" s="52" t="s">
        <v>145</v>
      </c>
      <c r="D432" s="261">
        <v>40</v>
      </c>
      <c r="E432" s="334" t="e">
        <f t="shared" ca="1" si="62"/>
        <v>#REF!</v>
      </c>
      <c r="F432" s="334">
        <f t="shared" ca="1" si="60"/>
        <v>0</v>
      </c>
      <c r="G432" s="10">
        <f ca="1">IF(_1!E$27&gt;0,INDIRECT(ADDRESS(21,3,,,_1!E$23)),0)</f>
        <v>0</v>
      </c>
      <c r="H432" s="10">
        <f ca="1">IF(_1!F$27&gt;0,INDIRECT(ADDRESS(21,3,,,_1!F$23)),0)</f>
        <v>0</v>
      </c>
      <c r="I432" s="334" t="e">
        <f t="shared" ca="1" si="61"/>
        <v>#REF!</v>
      </c>
      <c r="J432" s="10" t="e">
        <f ca="1">IF(_1!H$27&gt;0,INDIRECT(ADDRESS(21,3,,,_1!H$23)),0)</f>
        <v>#REF!</v>
      </c>
      <c r="K432" s="230" t="e">
        <f ca="1">IF(_1!I$27&gt;0,INDIRECT(ADDRESS(21,3,,,_1!I$23)),0)</f>
        <v>#REF!</v>
      </c>
      <c r="L432"/>
      <c r="P432" s="124" t="e">
        <f t="shared" ca="1" si="55"/>
        <v>#REF!</v>
      </c>
      <c r="Q432" s="125"/>
      <c r="R432" s="125"/>
    </row>
    <row r="433" spans="1:18" s="103" customFormat="1" ht="15" customHeight="1" x14ac:dyDescent="0.45">
      <c r="A433" s="58" t="s">
        <v>26</v>
      </c>
      <c r="B433" s="170" t="s">
        <v>193</v>
      </c>
      <c r="C433" s="52" t="s">
        <v>145</v>
      </c>
      <c r="D433" s="261">
        <v>6</v>
      </c>
      <c r="E433" s="334" t="e">
        <f t="shared" ca="1" si="62"/>
        <v>#REF!</v>
      </c>
      <c r="F433" s="334">
        <f t="shared" ca="1" si="60"/>
        <v>0</v>
      </c>
      <c r="G433" s="10">
        <f ca="1">IF(_1!E$27&gt;0,INDIRECT(ADDRESS(8,2,,,_1!E$23)),0)</f>
        <v>0</v>
      </c>
      <c r="H433" s="10">
        <f ca="1">IF(_1!F$27&gt;0,INDIRECT(ADDRESS(8,2,,,_1!F$23)),0)</f>
        <v>0</v>
      </c>
      <c r="I433" s="334" t="e">
        <f t="shared" ca="1" si="61"/>
        <v>#REF!</v>
      </c>
      <c r="J433" s="10" t="e">
        <f ca="1">IF(_1!H$27&gt;0,INDIRECT(ADDRESS(8,2,,,_1!H$23)),0)</f>
        <v>#REF!</v>
      </c>
      <c r="K433" s="230" t="e">
        <f ca="1">IF(_1!I$27&gt;0,INDIRECT(ADDRESS(8,2,,,_1!I$23)),0)</f>
        <v>#REF!</v>
      </c>
      <c r="L433"/>
      <c r="P433" s="124" t="e">
        <f t="shared" ca="1" si="55"/>
        <v>#REF!</v>
      </c>
      <c r="Q433" s="125"/>
      <c r="R433" s="125"/>
    </row>
    <row r="434" spans="1:18" s="103" customFormat="1" ht="15" customHeight="1" x14ac:dyDescent="0.45">
      <c r="A434" s="58" t="s">
        <v>26</v>
      </c>
      <c r="B434" s="170" t="s">
        <v>193</v>
      </c>
      <c r="C434" s="52" t="s">
        <v>145</v>
      </c>
      <c r="D434" s="261">
        <v>8</v>
      </c>
      <c r="E434" s="334" t="e">
        <f t="shared" ca="1" si="62"/>
        <v>#REF!</v>
      </c>
      <c r="F434" s="334">
        <f t="shared" ref="F434:F450" ca="1" si="63">ROUND(G$350*G434+H$350*H434,1)</f>
        <v>0</v>
      </c>
      <c r="G434" s="10">
        <f ca="1">IF(_1!E$27&gt;0,INDIRECT(ADDRESS(9,2,,,_1!E$23)),0)</f>
        <v>0</v>
      </c>
      <c r="H434" s="10">
        <f ca="1">IF(_1!F$27&gt;0,INDIRECT(ADDRESS(9,2,,,_1!F$23)),0)</f>
        <v>0</v>
      </c>
      <c r="I434" s="334" t="e">
        <f t="shared" ref="I434:I450" ca="1" si="64">ROUND(J$350*J434+K$350*K434,1)</f>
        <v>#REF!</v>
      </c>
      <c r="J434" s="10" t="e">
        <f ca="1">IF(_1!H$27&gt;0,INDIRECT(ADDRESS(9,2,,,_1!H$23)),0)</f>
        <v>#REF!</v>
      </c>
      <c r="K434" s="230" t="e">
        <f ca="1">IF(_1!I$27&gt;0,INDIRECT(ADDRESS(9,2,,,_1!I$23)),0)</f>
        <v>#REF!</v>
      </c>
      <c r="L434"/>
      <c r="P434" s="124" t="e">
        <f t="shared" ca="1" si="55"/>
        <v>#REF!</v>
      </c>
      <c r="Q434" s="125"/>
      <c r="R434" s="125"/>
    </row>
    <row r="435" spans="1:18" s="103" customFormat="1" ht="15" customHeight="1" x14ac:dyDescent="0.45">
      <c r="A435" s="58" t="s">
        <v>26</v>
      </c>
      <c r="B435" s="170" t="s">
        <v>193</v>
      </c>
      <c r="C435" s="52" t="s">
        <v>145</v>
      </c>
      <c r="D435" s="261">
        <v>10</v>
      </c>
      <c r="E435" s="334" t="e">
        <f t="shared" ca="1" si="62"/>
        <v>#REF!</v>
      </c>
      <c r="F435" s="334">
        <f t="shared" ca="1" si="63"/>
        <v>0</v>
      </c>
      <c r="G435" s="10">
        <f ca="1">IF(_1!E$27&gt;0,INDIRECT(ADDRESS(10,2,,,_1!E$23)),0)</f>
        <v>0</v>
      </c>
      <c r="H435" s="10">
        <f ca="1">IF(_1!F$27&gt;0,INDIRECT(ADDRESS(10,2,,,_1!F$23)),0)</f>
        <v>0</v>
      </c>
      <c r="I435" s="334" t="e">
        <f t="shared" ca="1" si="64"/>
        <v>#REF!</v>
      </c>
      <c r="J435" s="10" t="e">
        <f ca="1">IF(_1!H$27&gt;0,INDIRECT(ADDRESS(10,2,,,_1!H$23)),0)</f>
        <v>#REF!</v>
      </c>
      <c r="K435" s="230" t="e">
        <f ca="1">IF(_1!I$27&gt;0,INDIRECT(ADDRESS(10,2,,,_1!I$23)),0)</f>
        <v>#REF!</v>
      </c>
      <c r="L435"/>
      <c r="P435" s="124" t="e">
        <f t="shared" ca="1" si="55"/>
        <v>#REF!</v>
      </c>
      <c r="Q435" s="125"/>
      <c r="R435" s="125"/>
    </row>
    <row r="436" spans="1:18" s="103" customFormat="1" ht="15" customHeight="1" x14ac:dyDescent="0.45">
      <c r="A436" s="58" t="s">
        <v>26</v>
      </c>
      <c r="B436" s="170" t="s">
        <v>193</v>
      </c>
      <c r="C436" s="52" t="s">
        <v>145</v>
      </c>
      <c r="D436" s="261">
        <v>12</v>
      </c>
      <c r="E436" s="334" t="e">
        <f t="shared" ca="1" si="62"/>
        <v>#REF!</v>
      </c>
      <c r="F436" s="334">
        <f t="shared" ca="1" si="63"/>
        <v>0</v>
      </c>
      <c r="G436" s="10">
        <f ca="1">IF(_1!E$27&gt;0,INDIRECT(ADDRESS(11,2,,,_1!E$23)),0)</f>
        <v>0</v>
      </c>
      <c r="H436" s="10">
        <f ca="1">IF(_1!F$27&gt;0,INDIRECT(ADDRESS(11,2,,,_1!F$23)),0)</f>
        <v>0</v>
      </c>
      <c r="I436" s="334" t="e">
        <f t="shared" ca="1" si="64"/>
        <v>#REF!</v>
      </c>
      <c r="J436" s="10" t="e">
        <f ca="1">IF(_1!H$27&gt;0,INDIRECT(ADDRESS(11,2,,,_1!H$23)),0)</f>
        <v>#REF!</v>
      </c>
      <c r="K436" s="230" t="e">
        <f ca="1">IF(_1!I$27&gt;0,INDIRECT(ADDRESS(11,2,,,_1!I$23)),0)</f>
        <v>#REF!</v>
      </c>
      <c r="L436"/>
      <c r="P436" s="124" t="e">
        <f t="shared" ca="1" si="55"/>
        <v>#REF!</v>
      </c>
      <c r="Q436" s="125"/>
      <c r="R436" s="125"/>
    </row>
    <row r="437" spans="1:18" s="103" customFormat="1" ht="15" customHeight="1" x14ac:dyDescent="0.45">
      <c r="A437" s="58" t="s">
        <v>26</v>
      </c>
      <c r="B437" s="170" t="s">
        <v>193</v>
      </c>
      <c r="C437" s="52" t="s">
        <v>145</v>
      </c>
      <c r="D437" s="261">
        <v>14</v>
      </c>
      <c r="E437" s="334" t="e">
        <f t="shared" ca="1" si="62"/>
        <v>#REF!</v>
      </c>
      <c r="F437" s="334">
        <f t="shared" ca="1" si="63"/>
        <v>0</v>
      </c>
      <c r="G437" s="10">
        <f ca="1">IF(_1!E$27&gt;0,INDIRECT(ADDRESS(12,2,,,_1!E$23)),0)</f>
        <v>0</v>
      </c>
      <c r="H437" s="10">
        <f ca="1">IF(_1!F$27&gt;0,INDIRECT(ADDRESS(12,2,,,_1!F$23)),0)</f>
        <v>0</v>
      </c>
      <c r="I437" s="334" t="e">
        <f t="shared" ca="1" si="64"/>
        <v>#REF!</v>
      </c>
      <c r="J437" s="10" t="e">
        <f ca="1">IF(_1!H$27&gt;0,INDIRECT(ADDRESS(12,2,,,_1!H$23)),0)</f>
        <v>#REF!</v>
      </c>
      <c r="K437" s="230" t="e">
        <f ca="1">IF(_1!I$27&gt;0,INDIRECT(ADDRESS(12,2,,,_1!I$23)),0)</f>
        <v>#REF!</v>
      </c>
      <c r="L437"/>
      <c r="P437" s="124" t="e">
        <f t="shared" ca="1" si="55"/>
        <v>#REF!</v>
      </c>
      <c r="Q437" s="125"/>
      <c r="R437" s="125"/>
    </row>
    <row r="438" spans="1:18" s="103" customFormat="1" ht="15" customHeight="1" x14ac:dyDescent="0.45">
      <c r="A438" s="58" t="s">
        <v>26</v>
      </c>
      <c r="B438" s="170" t="s">
        <v>193</v>
      </c>
      <c r="C438" s="52" t="s">
        <v>145</v>
      </c>
      <c r="D438" s="261">
        <v>16</v>
      </c>
      <c r="E438" s="334" t="e">
        <f t="shared" ca="1" si="62"/>
        <v>#REF!</v>
      </c>
      <c r="F438" s="334">
        <f t="shared" ca="1" si="63"/>
        <v>0</v>
      </c>
      <c r="G438" s="10">
        <f ca="1">IF(_1!E$27&gt;0,INDIRECT(ADDRESS(13,2,,,_1!E$23)),0)</f>
        <v>0</v>
      </c>
      <c r="H438" s="10">
        <f ca="1">IF(_1!F$27&gt;0,INDIRECT(ADDRESS(13,2,,,_1!F$23)),0)</f>
        <v>0</v>
      </c>
      <c r="I438" s="334" t="e">
        <f t="shared" ca="1" si="64"/>
        <v>#REF!</v>
      </c>
      <c r="J438" s="10" t="e">
        <f ca="1">IF(_1!H$27&gt;0,INDIRECT(ADDRESS(13,2,,,_1!H$23)),0)</f>
        <v>#REF!</v>
      </c>
      <c r="K438" s="230" t="e">
        <f ca="1">IF(_1!I$27&gt;0,INDIRECT(ADDRESS(13,2,,,_1!I$23)),0)</f>
        <v>#REF!</v>
      </c>
      <c r="L438"/>
      <c r="P438" s="124" t="e">
        <f t="shared" ca="1" si="55"/>
        <v>#REF!</v>
      </c>
      <c r="Q438" s="125"/>
      <c r="R438" s="125"/>
    </row>
    <row r="439" spans="1:18" s="103" customFormat="1" ht="15" customHeight="1" x14ac:dyDescent="0.45">
      <c r="A439" s="58" t="s">
        <v>26</v>
      </c>
      <c r="B439" s="170" t="s">
        <v>193</v>
      </c>
      <c r="C439" s="52" t="s">
        <v>145</v>
      </c>
      <c r="D439" s="261">
        <v>18</v>
      </c>
      <c r="E439" s="334" t="e">
        <f t="shared" ca="1" si="62"/>
        <v>#REF!</v>
      </c>
      <c r="F439" s="334">
        <f t="shared" ca="1" si="63"/>
        <v>0</v>
      </c>
      <c r="G439" s="10">
        <f ca="1">IF(_1!E$27&gt;0,INDIRECT(ADDRESS(14,2,,,_1!E$23)),0)</f>
        <v>0</v>
      </c>
      <c r="H439" s="10">
        <f ca="1">IF(_1!F$27&gt;0,INDIRECT(ADDRESS(14,2,,,_1!F$23)),0)</f>
        <v>0</v>
      </c>
      <c r="I439" s="334" t="e">
        <f t="shared" ca="1" si="64"/>
        <v>#REF!</v>
      </c>
      <c r="J439" s="10" t="e">
        <f ca="1">IF(_1!H$27&gt;0,INDIRECT(ADDRESS(14,2,,,_1!H$23)),0)</f>
        <v>#REF!</v>
      </c>
      <c r="K439" s="230" t="e">
        <f ca="1">IF(_1!I$27&gt;0,INDIRECT(ADDRESS(14,2,,,_1!I$23)),0)</f>
        <v>#REF!</v>
      </c>
      <c r="L439"/>
      <c r="P439" s="124" t="e">
        <f t="shared" ca="1" si="55"/>
        <v>#REF!</v>
      </c>
      <c r="Q439" s="125"/>
      <c r="R439" s="125"/>
    </row>
    <row r="440" spans="1:18" s="103" customFormat="1" ht="15" customHeight="1" x14ac:dyDescent="0.45">
      <c r="A440" s="58" t="s">
        <v>26</v>
      </c>
      <c r="B440" s="170" t="s">
        <v>193</v>
      </c>
      <c r="C440" s="52" t="s">
        <v>145</v>
      </c>
      <c r="D440" s="261">
        <v>20</v>
      </c>
      <c r="E440" s="334" t="e">
        <f t="shared" ca="1" si="62"/>
        <v>#REF!</v>
      </c>
      <c r="F440" s="334">
        <f t="shared" ca="1" si="63"/>
        <v>0</v>
      </c>
      <c r="G440" s="10">
        <f ca="1">IF(_1!E$27&gt;0,INDIRECT(ADDRESS(15,2,,,_1!E$23)),0)</f>
        <v>0</v>
      </c>
      <c r="H440" s="10">
        <f ca="1">IF(_1!F$27&gt;0,INDIRECT(ADDRESS(15,2,,,_1!F$23)),0)</f>
        <v>0</v>
      </c>
      <c r="I440" s="334" t="e">
        <f t="shared" ca="1" si="64"/>
        <v>#REF!</v>
      </c>
      <c r="J440" s="10" t="e">
        <f ca="1">IF(_1!H$27&gt;0,INDIRECT(ADDRESS(15,2,,,_1!H$23)),0)</f>
        <v>#REF!</v>
      </c>
      <c r="K440" s="230" t="e">
        <f ca="1">IF(_1!I$27&gt;0,INDIRECT(ADDRESS(15,2,,,_1!I$23)),0)</f>
        <v>#REF!</v>
      </c>
      <c r="L440"/>
      <c r="P440" s="124" t="e">
        <f t="shared" ca="1" si="55"/>
        <v>#REF!</v>
      </c>
      <c r="Q440" s="125"/>
      <c r="R440" s="125"/>
    </row>
    <row r="441" spans="1:18" s="103" customFormat="1" ht="15" customHeight="1" x14ac:dyDescent="0.45">
      <c r="A441" s="58" t="s">
        <v>26</v>
      </c>
      <c r="B441" s="170" t="s">
        <v>193</v>
      </c>
      <c r="C441" s="52" t="s">
        <v>145</v>
      </c>
      <c r="D441" s="261">
        <v>22</v>
      </c>
      <c r="E441" s="334" t="e">
        <f t="shared" ca="1" si="62"/>
        <v>#REF!</v>
      </c>
      <c r="F441" s="334">
        <f t="shared" ca="1" si="63"/>
        <v>0</v>
      </c>
      <c r="G441" s="10">
        <f ca="1">IF(_1!E$27&gt;0,INDIRECT(ADDRESS(16,2,,,_1!E$23)),0)</f>
        <v>0</v>
      </c>
      <c r="H441" s="10">
        <f ca="1">IF(_1!F$27&gt;0,INDIRECT(ADDRESS(16,2,,,_1!F$23)),0)</f>
        <v>0</v>
      </c>
      <c r="I441" s="334" t="e">
        <f t="shared" ca="1" si="64"/>
        <v>#REF!</v>
      </c>
      <c r="J441" s="10" t="e">
        <f ca="1">IF(_1!H$27&gt;0,INDIRECT(ADDRESS(16,2,,,_1!H$23)),0)</f>
        <v>#REF!</v>
      </c>
      <c r="K441" s="230" t="e">
        <f ca="1">IF(_1!I$27&gt;0,INDIRECT(ADDRESS(16,2,,,_1!I$23)),0)</f>
        <v>#REF!</v>
      </c>
      <c r="L441"/>
      <c r="P441" s="124" t="e">
        <f t="shared" ca="1" si="55"/>
        <v>#REF!</v>
      </c>
      <c r="Q441" s="125"/>
      <c r="R441" s="125"/>
    </row>
    <row r="442" spans="1:18" s="103" customFormat="1" ht="15" customHeight="1" x14ac:dyDescent="0.45">
      <c r="A442" s="58" t="s">
        <v>26</v>
      </c>
      <c r="B442" s="170" t="s">
        <v>193</v>
      </c>
      <c r="C442" s="52" t="s">
        <v>145</v>
      </c>
      <c r="D442" s="261">
        <v>25</v>
      </c>
      <c r="E442" s="334" t="e">
        <f t="shared" ref="E442:E450" ca="1" si="65">SUMIF(F$7:L$7,"всего",F442:L442)</f>
        <v>#REF!</v>
      </c>
      <c r="F442" s="334">
        <f t="shared" ca="1" si="63"/>
        <v>0</v>
      </c>
      <c r="G442" s="10">
        <f ca="1">IF(_1!E$27&gt;0,INDIRECT(ADDRESS(17,2,,,_1!E$23)),0)</f>
        <v>0</v>
      </c>
      <c r="H442" s="10">
        <f ca="1">IF(_1!F$27&gt;0,INDIRECT(ADDRESS(17,2,,,_1!F$23)),0)</f>
        <v>0</v>
      </c>
      <c r="I442" s="334" t="e">
        <f t="shared" ca="1" si="64"/>
        <v>#REF!</v>
      </c>
      <c r="J442" s="10" t="e">
        <f ca="1">IF(_1!H$27&gt;0,INDIRECT(ADDRESS(17,2,,,_1!H$23)),0)</f>
        <v>#REF!</v>
      </c>
      <c r="K442" s="230" t="e">
        <f ca="1">IF(_1!I$27&gt;0,INDIRECT(ADDRESS(17,2,,,_1!I$23)),0)</f>
        <v>#REF!</v>
      </c>
      <c r="L442"/>
      <c r="P442" s="124" t="e">
        <f t="shared" ca="1" si="55"/>
        <v>#REF!</v>
      </c>
      <c r="Q442" s="125"/>
      <c r="R442" s="125"/>
    </row>
    <row r="443" spans="1:18" s="103" customFormat="1" ht="15" customHeight="1" x14ac:dyDescent="0.45">
      <c r="A443" s="58" t="s">
        <v>26</v>
      </c>
      <c r="B443" s="170" t="s">
        <v>193</v>
      </c>
      <c r="C443" s="52" t="s">
        <v>145</v>
      </c>
      <c r="D443" s="261">
        <v>28</v>
      </c>
      <c r="E443" s="334" t="e">
        <f t="shared" ca="1" si="65"/>
        <v>#REF!</v>
      </c>
      <c r="F443" s="334">
        <f t="shared" ca="1" si="63"/>
        <v>0</v>
      </c>
      <c r="G443" s="10">
        <f ca="1">IF(_1!E$27&gt;0,INDIRECT(ADDRESS(18,2,,,_1!E$23)),0)</f>
        <v>0</v>
      </c>
      <c r="H443" s="10">
        <f ca="1">IF(_1!F$27&gt;0,INDIRECT(ADDRESS(18,2,,,_1!F$23)),0)</f>
        <v>0</v>
      </c>
      <c r="I443" s="334" t="e">
        <f t="shared" ca="1" si="64"/>
        <v>#REF!</v>
      </c>
      <c r="J443" s="10" t="e">
        <f ca="1">IF(_1!H$27&gt;0,INDIRECT(ADDRESS(18,2,,,_1!H$23)),0)</f>
        <v>#REF!</v>
      </c>
      <c r="K443" s="230" t="e">
        <f ca="1">IF(_1!I$27&gt;0,INDIRECT(ADDRESS(18,2,,,_1!I$23)),0)</f>
        <v>#REF!</v>
      </c>
      <c r="L443"/>
      <c r="P443" s="124" t="e">
        <f t="shared" ca="1" si="55"/>
        <v>#REF!</v>
      </c>
      <c r="Q443" s="125"/>
      <c r="R443" s="125"/>
    </row>
    <row r="444" spans="1:18" s="103" customFormat="1" ht="15" customHeight="1" x14ac:dyDescent="0.45">
      <c r="A444" s="58" t="s">
        <v>26</v>
      </c>
      <c r="B444" s="170" t="s">
        <v>193</v>
      </c>
      <c r="C444" s="52" t="s">
        <v>145</v>
      </c>
      <c r="D444" s="261">
        <v>32</v>
      </c>
      <c r="E444" s="334" t="e">
        <f t="shared" ca="1" si="65"/>
        <v>#REF!</v>
      </c>
      <c r="F444" s="334">
        <f t="shared" ca="1" si="63"/>
        <v>0</v>
      </c>
      <c r="G444" s="10">
        <f ca="1">IF(_1!E$27&gt;0,INDIRECT(ADDRESS(19,2,,,_1!E$23)),0)</f>
        <v>0</v>
      </c>
      <c r="H444" s="10">
        <f ca="1">IF(_1!F$27&gt;0,INDIRECT(ADDRESS(19,2,,,_1!F$23)),0)</f>
        <v>0</v>
      </c>
      <c r="I444" s="334" t="e">
        <f t="shared" ca="1" si="64"/>
        <v>#REF!</v>
      </c>
      <c r="J444" s="10" t="e">
        <f ca="1">IF(_1!H$27&gt;0,INDIRECT(ADDRESS(19,2,,,_1!H$23)),0)</f>
        <v>#REF!</v>
      </c>
      <c r="K444" s="230" t="e">
        <f ca="1">IF(_1!I$27&gt;0,INDIRECT(ADDRESS(19,2,,,_1!I$23)),0)</f>
        <v>#REF!</v>
      </c>
      <c r="L444"/>
      <c r="P444" s="124" t="e">
        <f t="shared" ca="1" si="55"/>
        <v>#REF!</v>
      </c>
      <c r="Q444" s="125"/>
      <c r="R444" s="125"/>
    </row>
    <row r="445" spans="1:18" s="103" customFormat="1" ht="15" customHeight="1" x14ac:dyDescent="0.45">
      <c r="A445" s="58" t="s">
        <v>26</v>
      </c>
      <c r="B445" s="170" t="s">
        <v>193</v>
      </c>
      <c r="C445" s="52" t="s">
        <v>145</v>
      </c>
      <c r="D445" s="261">
        <v>36</v>
      </c>
      <c r="E445" s="334" t="e">
        <f t="shared" ca="1" si="65"/>
        <v>#REF!</v>
      </c>
      <c r="F445" s="334">
        <f t="shared" ca="1" si="63"/>
        <v>0</v>
      </c>
      <c r="G445" s="10">
        <f ca="1">IF(_1!E$27&gt;0,INDIRECT(ADDRESS(20,2,,,_1!E$23)),0)</f>
        <v>0</v>
      </c>
      <c r="H445" s="10">
        <f ca="1">IF(_1!F$27&gt;0,INDIRECT(ADDRESS(20,2,,,_1!F$23)),0)</f>
        <v>0</v>
      </c>
      <c r="I445" s="334" t="e">
        <f t="shared" ca="1" si="64"/>
        <v>#REF!</v>
      </c>
      <c r="J445" s="10" t="e">
        <f ca="1">IF(_1!H$27&gt;0,INDIRECT(ADDRESS(20,2,,,_1!H$23)),0)</f>
        <v>#REF!</v>
      </c>
      <c r="K445" s="230" t="e">
        <f ca="1">IF(_1!I$27&gt;0,INDIRECT(ADDRESS(20,2,,,_1!I$23)),0)</f>
        <v>#REF!</v>
      </c>
      <c r="L445"/>
      <c r="P445" s="124" t="e">
        <f t="shared" ca="1" si="55"/>
        <v>#REF!</v>
      </c>
      <c r="Q445" s="125"/>
      <c r="R445" s="125"/>
    </row>
    <row r="446" spans="1:18" s="103" customFormat="1" ht="15" customHeight="1" x14ac:dyDescent="0.45">
      <c r="A446" s="58" t="s">
        <v>26</v>
      </c>
      <c r="B446" s="170" t="s">
        <v>193</v>
      </c>
      <c r="C446" s="52" t="s">
        <v>145</v>
      </c>
      <c r="D446" s="261">
        <v>40</v>
      </c>
      <c r="E446" s="334" t="e">
        <f t="shared" ca="1" si="65"/>
        <v>#REF!</v>
      </c>
      <c r="F446" s="334">
        <f t="shared" ca="1" si="63"/>
        <v>0</v>
      </c>
      <c r="G446" s="10">
        <f ca="1">IF(_1!E$27&gt;0,INDIRECT(ADDRESS(21,2,,,_1!E$23)),0)</f>
        <v>0</v>
      </c>
      <c r="H446" s="10">
        <f ca="1">IF(_1!F$27&gt;0,INDIRECT(ADDRESS(21,2,,,_1!F$23)),0)</f>
        <v>0</v>
      </c>
      <c r="I446" s="334" t="e">
        <f t="shared" ca="1" si="64"/>
        <v>#REF!</v>
      </c>
      <c r="J446" s="10" t="e">
        <f ca="1">IF(_1!H$27&gt;0,INDIRECT(ADDRESS(21,2,,,_1!H$23)),0)</f>
        <v>#REF!</v>
      </c>
      <c r="K446" s="230" t="e">
        <f ca="1">IF(_1!I$27&gt;0,INDIRECT(ADDRESS(21,2,,,_1!I$23)),0)</f>
        <v>#REF!</v>
      </c>
      <c r="L446"/>
      <c r="P446" s="124" t="e">
        <f t="shared" ca="1" si="55"/>
        <v>#REF!</v>
      </c>
      <c r="Q446" s="125"/>
      <c r="R446" s="125"/>
    </row>
    <row r="447" spans="1:18" s="103" customFormat="1" ht="15" customHeight="1" x14ac:dyDescent="0.45">
      <c r="A447" s="58"/>
      <c r="B447" s="17"/>
      <c r="C447" s="54" t="s">
        <v>147</v>
      </c>
      <c r="D447" s="255" t="s">
        <v>363</v>
      </c>
      <c r="E447" s="334" t="e">
        <f t="shared" ca="1" si="65"/>
        <v>#REF!</v>
      </c>
      <c r="F447" s="334">
        <f t="shared" ca="1" si="63"/>
        <v>0</v>
      </c>
      <c r="G447" s="10">
        <f ca="1">IF(_1!E$27&gt;0,INDIRECT(ADDRESS(35,3,,,_1!E$23)),0)</f>
        <v>0</v>
      </c>
      <c r="H447" s="10">
        <f ca="1">IF(_1!F$27&gt;0,INDIRECT(ADDRESS(35,3,,,_1!F$23)),0)</f>
        <v>0</v>
      </c>
      <c r="I447" s="334" t="e">
        <f t="shared" ca="1" si="64"/>
        <v>#REF!</v>
      </c>
      <c r="J447" s="10" t="e">
        <f ca="1">IF(_1!H$27&gt;0,INDIRECT(ADDRESS(35,3,,,_1!H$23)),0)</f>
        <v>#REF!</v>
      </c>
      <c r="K447" s="230" t="e">
        <f ca="1">IF(_1!I$27&gt;0,INDIRECT(ADDRESS(35,3,,,_1!I$23)),0)</f>
        <v>#REF!</v>
      </c>
      <c r="L447"/>
      <c r="P447" s="124" t="e">
        <f t="shared" ca="1" si="55"/>
        <v>#REF!</v>
      </c>
      <c r="Q447" s="125"/>
      <c r="R447" s="125"/>
    </row>
    <row r="448" spans="1:18" s="103" customFormat="1" ht="15" customHeight="1" x14ac:dyDescent="0.45">
      <c r="A448" s="58"/>
      <c r="B448" s="17"/>
      <c r="C448" s="54" t="s">
        <v>390</v>
      </c>
      <c r="D448" s="314" t="s">
        <v>391</v>
      </c>
      <c r="E448" s="334" t="e">
        <f t="shared" ca="1" si="65"/>
        <v>#REF!</v>
      </c>
      <c r="F448" s="334">
        <f t="shared" ca="1" si="63"/>
        <v>0</v>
      </c>
      <c r="G448" s="10">
        <f ca="1">IF(_1!E$27&gt;0,INDIRECT(ADDRESS(35,12,,,_1!E$23)),0)</f>
        <v>0</v>
      </c>
      <c r="H448" s="10">
        <f ca="1">IF(_1!F$27&gt;0,INDIRECT(ADDRESS(35,12,,,_1!F$23)),0)</f>
        <v>0</v>
      </c>
      <c r="I448" s="334" t="e">
        <f t="shared" ca="1" si="64"/>
        <v>#REF!</v>
      </c>
      <c r="J448" s="10" t="e">
        <f ca="1">IF(_1!H$27&gt;0,INDIRECT(ADDRESS(35,12,,,_1!H$23)),0)</f>
        <v>#REF!</v>
      </c>
      <c r="K448" s="230" t="e">
        <f ca="1">IF(_1!I$27&gt;0,INDIRECT(ADDRESS(35,12,,,_1!I$23)),0)</f>
        <v>#REF!</v>
      </c>
      <c r="L448"/>
      <c r="P448" s="124" t="e">
        <f t="shared" ca="1" si="55"/>
        <v>#REF!</v>
      </c>
      <c r="Q448" s="125"/>
      <c r="R448" s="125"/>
    </row>
    <row r="449" spans="1:18" s="103" customFormat="1" ht="15" customHeight="1" x14ac:dyDescent="0.45">
      <c r="A449" s="58"/>
      <c r="B449" s="17"/>
      <c r="C449" s="54" t="s">
        <v>390</v>
      </c>
      <c r="D449" s="314" t="s">
        <v>392</v>
      </c>
      <c r="E449" s="334" t="e">
        <f t="shared" ca="1" si="65"/>
        <v>#REF!</v>
      </c>
      <c r="F449" s="334">
        <f t="shared" ca="1" si="63"/>
        <v>0</v>
      </c>
      <c r="G449" s="10">
        <f ca="1">IF(_1!E$27&gt;0,INDIRECT(ADDRESS(35,10,,,_1!E$23)),0)</f>
        <v>0</v>
      </c>
      <c r="H449" s="10">
        <f ca="1">IF(_1!F$27&gt;0,INDIRECT(ADDRESS(35,10,,,_1!F$23)),0)</f>
        <v>0</v>
      </c>
      <c r="I449" s="334" t="e">
        <f t="shared" ca="1" si="64"/>
        <v>#REF!</v>
      </c>
      <c r="J449" s="10" t="e">
        <f ca="1">IF(_1!H$27&gt;0,INDIRECT(ADDRESS(35,10,,,_1!H$23)),0)</f>
        <v>#REF!</v>
      </c>
      <c r="K449" s="230" t="e">
        <f ca="1">IF(_1!I$27&gt;0,INDIRECT(ADDRESS(35,10,,,_1!I$23)),0)</f>
        <v>#REF!</v>
      </c>
      <c r="L449"/>
      <c r="P449" s="124" t="e">
        <f t="shared" ref="P449:P457" ca="1" si="66">IF(E449=0,0,1)</f>
        <v>#REF!</v>
      </c>
      <c r="Q449" s="125"/>
      <c r="R449" s="125"/>
    </row>
    <row r="450" spans="1:18" s="103" customFormat="1" ht="15" customHeight="1" thickBot="1" x14ac:dyDescent="0.5">
      <c r="A450" s="220" t="s">
        <v>337</v>
      </c>
      <c r="B450" s="134"/>
      <c r="C450" s="134"/>
      <c r="D450" s="13" t="s">
        <v>120</v>
      </c>
      <c r="E450" s="337">
        <f t="shared" si="65"/>
        <v>18.399999999999999</v>
      </c>
      <c r="F450" s="337">
        <f t="shared" si="63"/>
        <v>0</v>
      </c>
      <c r="G450" s="134">
        <f>ROUND(_1!E25*_1!E28,2)</f>
        <v>0.13</v>
      </c>
      <c r="H450" s="221">
        <f>ROUND(_1!F25*_1!F28,2)</f>
        <v>0.13</v>
      </c>
      <c r="I450" s="337">
        <f t="shared" si="64"/>
        <v>18.399999999999999</v>
      </c>
      <c r="J450" s="134">
        <f>ROUND(_1!H25*_1!H28,2)</f>
        <v>1.02</v>
      </c>
      <c r="K450" s="221">
        <f>ROUND(_1!I25*_1!I28,2)</f>
        <v>1.02</v>
      </c>
      <c r="L450"/>
      <c r="P450" s="124">
        <f t="shared" si="66"/>
        <v>1</v>
      </c>
      <c r="Q450" s="125"/>
      <c r="R450" s="125"/>
    </row>
    <row r="451" spans="1:18" s="103" customFormat="1" ht="15" customHeight="1" x14ac:dyDescent="0.45">
      <c r="A451" s="132" t="s">
        <v>197</v>
      </c>
      <c r="D451" s="1" t="s">
        <v>153</v>
      </c>
      <c r="E451" s="3">
        <f>F451+I451</f>
        <v>24</v>
      </c>
      <c r="F451" s="123">
        <f>_1!D9</f>
        <v>12</v>
      </c>
      <c r="I451" s="123">
        <f>_1!G9</f>
        <v>12</v>
      </c>
      <c r="K451" s="131"/>
      <c r="L451"/>
      <c r="P451" s="124">
        <f t="shared" si="66"/>
        <v>1</v>
      </c>
      <c r="Q451" s="125"/>
      <c r="R451" s="125"/>
    </row>
    <row r="452" spans="1:18" s="103" customFormat="1" ht="15" customHeight="1" x14ac:dyDescent="0.45">
      <c r="A452" s="132" t="s">
        <v>389</v>
      </c>
      <c r="D452" s="8" t="s">
        <v>153</v>
      </c>
      <c r="E452" s="3">
        <f>F452+I452</f>
        <v>2</v>
      </c>
      <c r="F452" s="123">
        <f>_1!D10</f>
        <v>0</v>
      </c>
      <c r="I452" s="123">
        <f>_1!G10</f>
        <v>2</v>
      </c>
      <c r="K452" s="131"/>
      <c r="L452"/>
      <c r="P452" s="124">
        <f t="shared" si="66"/>
        <v>1</v>
      </c>
      <c r="Q452" s="125"/>
      <c r="R452" s="125"/>
    </row>
    <row r="453" spans="1:18" s="103" customFormat="1" ht="15" customHeight="1" thickBot="1" x14ac:dyDescent="0.5">
      <c r="A453" s="149" t="s">
        <v>198</v>
      </c>
      <c r="B453" s="134"/>
      <c r="C453" s="134"/>
      <c r="D453" s="12" t="s">
        <v>153</v>
      </c>
      <c r="E453" s="274">
        <f>F453+I453</f>
        <v>2</v>
      </c>
      <c r="F453" s="133">
        <f>_1!D11</f>
        <v>1</v>
      </c>
      <c r="G453" s="134"/>
      <c r="H453" s="134"/>
      <c r="I453" s="133">
        <f>_1!G11</f>
        <v>1</v>
      </c>
      <c r="J453" s="134"/>
      <c r="K453" s="135"/>
      <c r="L453"/>
      <c r="P453" s="124">
        <f t="shared" si="66"/>
        <v>1</v>
      </c>
      <c r="Q453" s="125"/>
      <c r="R453" s="125"/>
    </row>
    <row r="454" spans="1:18" x14ac:dyDescent="0.45">
      <c r="P454" s="124">
        <f t="shared" si="66"/>
        <v>0</v>
      </c>
    </row>
    <row r="455" spans="1:18" x14ac:dyDescent="0.45">
      <c r="P455" s="124">
        <f t="shared" si="66"/>
        <v>0</v>
      </c>
    </row>
    <row r="456" spans="1:18" x14ac:dyDescent="0.45">
      <c r="P456" s="124">
        <f t="shared" si="66"/>
        <v>0</v>
      </c>
    </row>
    <row r="457" spans="1:18" x14ac:dyDescent="0.45">
      <c r="P457" s="124">
        <f t="shared" si="66"/>
        <v>0</v>
      </c>
    </row>
    <row r="460" spans="1:18" ht="15.6" customHeight="1" x14ac:dyDescent="0.45"/>
  </sheetData>
  <mergeCells count="124">
    <mergeCell ref="A414:A415"/>
    <mergeCell ref="A370:A376"/>
    <mergeCell ref="A377:A383"/>
    <mergeCell ref="A384:A392"/>
    <mergeCell ref="A393:A404"/>
    <mergeCell ref="A405:A410"/>
    <mergeCell ref="P6:P7"/>
    <mergeCell ref="Q6:R6"/>
    <mergeCell ref="I6:K6"/>
    <mergeCell ref="A269:A275"/>
    <mergeCell ref="B142:C143"/>
    <mergeCell ref="B144:C145"/>
    <mergeCell ref="B146:C147"/>
    <mergeCell ref="B148:C149"/>
    <mergeCell ref="B150:C151"/>
    <mergeCell ref="A142:A145"/>
    <mergeCell ref="A146:A149"/>
    <mergeCell ref="A276:A282"/>
    <mergeCell ref="A283:A291"/>
    <mergeCell ref="A292:A303"/>
    <mergeCell ref="A304:A309"/>
    <mergeCell ref="A310:A312"/>
    <mergeCell ref="A313:A314"/>
    <mergeCell ref="A411:A413"/>
    <mergeCell ref="E6:E7"/>
    <mergeCell ref="F6:H6"/>
    <mergeCell ref="B166:C167"/>
    <mergeCell ref="A174:A177"/>
    <mergeCell ref="B174:C175"/>
    <mergeCell ref="B176:C177"/>
    <mergeCell ref="A178:A181"/>
    <mergeCell ref="B178:C179"/>
    <mergeCell ref="B180:C181"/>
    <mergeCell ref="A158:A161"/>
    <mergeCell ref="B158:C159"/>
    <mergeCell ref="B160:C161"/>
    <mergeCell ref="A162:A165"/>
    <mergeCell ref="B162:C163"/>
    <mergeCell ref="B164:C165"/>
    <mergeCell ref="B118:C119"/>
    <mergeCell ref="A94:A97"/>
    <mergeCell ref="B94:C95"/>
    <mergeCell ref="B96:C97"/>
    <mergeCell ref="A98:A101"/>
    <mergeCell ref="B98:C99"/>
    <mergeCell ref="B100:C101"/>
    <mergeCell ref="B102:C103"/>
    <mergeCell ref="A110:A113"/>
    <mergeCell ref="B226:C227"/>
    <mergeCell ref="B228:C229"/>
    <mergeCell ref="A210:A213"/>
    <mergeCell ref="B210:C211"/>
    <mergeCell ref="B212:C213"/>
    <mergeCell ref="B182:C183"/>
    <mergeCell ref="A190:A193"/>
    <mergeCell ref="B190:C191"/>
    <mergeCell ref="B192:C193"/>
    <mergeCell ref="A194:A197"/>
    <mergeCell ref="B194:C195"/>
    <mergeCell ref="B196:C197"/>
    <mergeCell ref="B246:C247"/>
    <mergeCell ref="A126:A129"/>
    <mergeCell ref="B126:C127"/>
    <mergeCell ref="B128:C129"/>
    <mergeCell ref="A130:A133"/>
    <mergeCell ref="B130:C131"/>
    <mergeCell ref="B132:C133"/>
    <mergeCell ref="B134:C135"/>
    <mergeCell ref="B230:C231"/>
    <mergeCell ref="A238:A241"/>
    <mergeCell ref="B238:C239"/>
    <mergeCell ref="B240:C241"/>
    <mergeCell ref="B198:C199"/>
    <mergeCell ref="A206:A209"/>
    <mergeCell ref="B206:C207"/>
    <mergeCell ref="B208:C209"/>
    <mergeCell ref="A242:A245"/>
    <mergeCell ref="B242:C243"/>
    <mergeCell ref="B244:C245"/>
    <mergeCell ref="B214:C215"/>
    <mergeCell ref="A222:A225"/>
    <mergeCell ref="B222:C223"/>
    <mergeCell ref="B224:C225"/>
    <mergeCell ref="A226:A229"/>
    <mergeCell ref="B110:C111"/>
    <mergeCell ref="B112:C113"/>
    <mergeCell ref="A114:A117"/>
    <mergeCell ref="B114:C115"/>
    <mergeCell ref="B116:C117"/>
    <mergeCell ref="B86:C87"/>
    <mergeCell ref="A62:A65"/>
    <mergeCell ref="B62:C63"/>
    <mergeCell ref="B64:C65"/>
    <mergeCell ref="A66:A69"/>
    <mergeCell ref="B66:C67"/>
    <mergeCell ref="B68:C69"/>
    <mergeCell ref="B70:C71"/>
    <mergeCell ref="A78:A81"/>
    <mergeCell ref="B78:C79"/>
    <mergeCell ref="B80:C81"/>
    <mergeCell ref="A82:A85"/>
    <mergeCell ref="B82:C83"/>
    <mergeCell ref="B84:C85"/>
    <mergeCell ref="B22:C23"/>
    <mergeCell ref="A14:A17"/>
    <mergeCell ref="B14:C15"/>
    <mergeCell ref="B16:C17"/>
    <mergeCell ref="A18:A21"/>
    <mergeCell ref="B18:C19"/>
    <mergeCell ref="B20:C21"/>
    <mergeCell ref="B54:C55"/>
    <mergeCell ref="A30:A33"/>
    <mergeCell ref="B30:C31"/>
    <mergeCell ref="B32:C33"/>
    <mergeCell ref="A34:A37"/>
    <mergeCell ref="B34:C35"/>
    <mergeCell ref="B36:C37"/>
    <mergeCell ref="B38:C39"/>
    <mergeCell ref="A46:A49"/>
    <mergeCell ref="B46:C47"/>
    <mergeCell ref="B48:C49"/>
    <mergeCell ref="A50:A53"/>
    <mergeCell ref="B50:C51"/>
    <mergeCell ref="B52:C5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_xludf.unhide">
                <anchor moveWithCells="1" sizeWithCells="1">
                  <from>
                    <xdr:col>15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otob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_xludf.unhide">
                <anchor moveWithCells="1" sizeWithCells="1">
                  <from>
                    <xdr:col>15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Button 7">
              <controlPr defaultSize="0" print="0" autoFill="0" autoPict="0" macro="[0]!otob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B2:J49"/>
  <sheetViews>
    <sheetView workbookViewId="0">
      <selection activeCell="A35" sqref="A35:IV35"/>
    </sheetView>
  </sheetViews>
  <sheetFormatPr defaultColWidth="9.1328125" defaultRowHeight="14.25" x14ac:dyDescent="0.45"/>
  <cols>
    <col min="1" max="1" width="8.53125" style="1" customWidth="1"/>
    <col min="2" max="2" width="51.46484375" style="1" customWidth="1"/>
    <col min="3" max="3" width="11.46484375" style="1" customWidth="1"/>
    <col min="4" max="9" width="9.1328125" style="1"/>
    <col min="10" max="10" width="27.6640625" style="1" bestFit="1" customWidth="1"/>
    <col min="11" max="16384" width="9.1328125" style="1"/>
  </cols>
  <sheetData>
    <row r="2" spans="2:10" ht="14.65" thickBot="1" x14ac:dyDescent="0.5"/>
    <row r="3" spans="2:10" x14ac:dyDescent="0.45">
      <c r="B3" s="2"/>
      <c r="C3" s="2" t="s">
        <v>249</v>
      </c>
      <c r="D3" s="4" t="s">
        <v>1</v>
      </c>
      <c r="E3" s="5"/>
      <c r="F3" s="6"/>
      <c r="G3" s="4" t="s">
        <v>5</v>
      </c>
      <c r="H3" s="5"/>
      <c r="I3" s="6"/>
      <c r="J3" s="1" t="s">
        <v>24</v>
      </c>
    </row>
    <row r="4" spans="2:10" ht="14.65" thickBot="1" x14ac:dyDescent="0.5">
      <c r="B4" s="14"/>
      <c r="C4" s="14"/>
      <c r="D4" s="11" t="s">
        <v>2</v>
      </c>
      <c r="E4" s="12" t="s">
        <v>3</v>
      </c>
      <c r="F4" s="13" t="s">
        <v>4</v>
      </c>
      <c r="G4" s="11" t="s">
        <v>2</v>
      </c>
      <c r="H4" s="12" t="s">
        <v>3</v>
      </c>
      <c r="I4" s="13" t="s">
        <v>4</v>
      </c>
    </row>
    <row r="5" spans="2:10" ht="15" customHeight="1" x14ac:dyDescent="0.45">
      <c r="B5" s="152" t="s">
        <v>12</v>
      </c>
      <c r="C5" s="152"/>
      <c r="D5" s="153"/>
      <c r="E5" s="154"/>
      <c r="F5" s="155"/>
      <c r="G5" s="153"/>
      <c r="H5" s="154"/>
      <c r="I5" s="155"/>
    </row>
    <row r="6" spans="2:10" ht="15" customHeight="1" x14ac:dyDescent="0.45">
      <c r="B6" s="156" t="s">
        <v>244</v>
      </c>
      <c r="C6" s="156"/>
      <c r="D6" s="157"/>
      <c r="E6" s="20"/>
      <c r="F6" s="159"/>
      <c r="G6" s="157"/>
      <c r="H6" s="20"/>
      <c r="I6" s="159"/>
    </row>
    <row r="7" spans="2:10" ht="15" customHeight="1" x14ac:dyDescent="0.45">
      <c r="B7" s="156" t="s">
        <v>245</v>
      </c>
      <c r="C7" s="156"/>
      <c r="D7" s="157"/>
      <c r="E7" s="20"/>
      <c r="F7" s="159"/>
      <c r="G7" s="157"/>
      <c r="H7" s="20"/>
      <c r="I7" s="159"/>
    </row>
    <row r="8" spans="2:10" ht="15" customHeight="1" x14ac:dyDescent="0.45">
      <c r="B8" s="160" t="s">
        <v>13</v>
      </c>
      <c r="C8" s="160"/>
      <c r="D8" s="161"/>
      <c r="E8" s="223"/>
      <c r="F8" s="162"/>
      <c r="G8" s="161"/>
      <c r="H8" s="223"/>
      <c r="I8" s="162"/>
    </row>
    <row r="9" spans="2:10" ht="15" customHeight="1" x14ac:dyDescent="0.45">
      <c r="B9" s="163" t="s">
        <v>9</v>
      </c>
      <c r="C9" s="163"/>
      <c r="D9" s="164"/>
      <c r="E9" s="165"/>
      <c r="F9" s="166"/>
      <c r="G9" s="164"/>
      <c r="H9" s="165"/>
      <c r="I9" s="166"/>
    </row>
    <row r="10" spans="2:10" ht="15" customHeight="1" x14ac:dyDescent="0.45">
      <c r="B10" s="156" t="s">
        <v>244</v>
      </c>
      <c r="C10" s="156"/>
      <c r="D10" s="157"/>
      <c r="E10" s="20">
        <v>0.1</v>
      </c>
      <c r="F10" s="159"/>
      <c r="G10" s="157"/>
      <c r="H10" s="20">
        <f>$E10</f>
        <v>0.1</v>
      </c>
      <c r="I10" s="159"/>
    </row>
    <row r="11" spans="2:10" ht="15" customHeight="1" x14ac:dyDescent="0.45">
      <c r="B11" s="160" t="s">
        <v>245</v>
      </c>
      <c r="C11" s="160"/>
      <c r="D11" s="161"/>
      <c r="E11" s="223">
        <v>0.2</v>
      </c>
      <c r="F11" s="162"/>
      <c r="G11" s="161"/>
      <c r="H11" s="223">
        <f>$E11</f>
        <v>0.2</v>
      </c>
      <c r="I11" s="162"/>
    </row>
    <row r="12" spans="2:10" x14ac:dyDescent="0.45">
      <c r="B12" s="163" t="s">
        <v>6</v>
      </c>
      <c r="C12" s="163"/>
      <c r="D12" s="164"/>
      <c r="E12" s="165"/>
      <c r="F12" s="166"/>
      <c r="G12" s="164"/>
      <c r="H12" s="165"/>
      <c r="I12" s="166"/>
    </row>
    <row r="13" spans="2:10" x14ac:dyDescent="0.45">
      <c r="B13" s="156" t="s">
        <v>347</v>
      </c>
      <c r="C13" s="159"/>
      <c r="D13" s="157"/>
      <c r="E13" s="20" t="s">
        <v>369</v>
      </c>
      <c r="F13" s="159"/>
      <c r="G13" s="158"/>
      <c r="H13" s="20" t="s">
        <v>369</v>
      </c>
      <c r="I13" s="159"/>
    </row>
    <row r="14" spans="2:10" s="246" customFormat="1" ht="10.5" x14ac:dyDescent="0.45">
      <c r="B14" s="250" t="s">
        <v>348</v>
      </c>
      <c r="C14" s="251"/>
      <c r="D14" s="252"/>
      <c r="E14" s="253" t="str">
        <f>CONCATENATE("[ARM2.xls]",E13)</f>
        <v>[ARM2.xls]Р1.1-Р1.4</v>
      </c>
      <c r="F14" s="251"/>
      <c r="G14" s="253"/>
      <c r="H14" s="253" t="str">
        <f>CONCATENATE("[ARM2.xls]",H13)</f>
        <v>[ARM2.xls]Р1.1-Р1.4</v>
      </c>
      <c r="I14" s="251"/>
    </row>
    <row r="15" spans="2:10" x14ac:dyDescent="0.45">
      <c r="B15" s="156" t="s">
        <v>343</v>
      </c>
      <c r="C15" s="159"/>
      <c r="D15" s="157"/>
      <c r="E15" s="20">
        <v>137.69</v>
      </c>
      <c r="F15" s="159"/>
      <c r="G15" s="158"/>
      <c r="H15" s="20">
        <v>137.505</v>
      </c>
      <c r="I15" s="159"/>
      <c r="J15" s="10"/>
    </row>
    <row r="16" spans="2:10" x14ac:dyDescent="0.45">
      <c r="B16" s="156" t="s">
        <v>7</v>
      </c>
      <c r="C16" s="156">
        <f>D16+G16</f>
        <v>8</v>
      </c>
      <c r="D16" s="157">
        <f>SUM(E16:F16)</f>
        <v>4</v>
      </c>
      <c r="E16" s="20">
        <v>4</v>
      </c>
      <c r="F16" s="159"/>
      <c r="G16" s="157">
        <f>SUM(H16:I16)</f>
        <v>4</v>
      </c>
      <c r="H16" s="20">
        <v>4</v>
      </c>
      <c r="I16" s="159"/>
    </row>
    <row r="17" spans="2:9" x14ac:dyDescent="0.45">
      <c r="B17" s="156" t="s">
        <v>246</v>
      </c>
      <c r="C17" s="156"/>
      <c r="D17" s="157"/>
      <c r="E17" s="20">
        <f>5.05</f>
        <v>5.05</v>
      </c>
      <c r="F17" s="159"/>
      <c r="G17" s="157"/>
      <c r="H17" s="20">
        <v>2.95</v>
      </c>
      <c r="I17" s="159"/>
    </row>
    <row r="18" spans="2:9" x14ac:dyDescent="0.45">
      <c r="B18" s="156" t="s">
        <v>247</v>
      </c>
      <c r="C18" s="156"/>
      <c r="D18" s="157"/>
      <c r="E18" s="20">
        <v>6.1</v>
      </c>
      <c r="F18" s="159"/>
      <c r="G18" s="157"/>
      <c r="H18" s="20">
        <v>2.95</v>
      </c>
      <c r="I18" s="159"/>
    </row>
    <row r="19" spans="2:9" x14ac:dyDescent="0.45">
      <c r="B19" s="156" t="s">
        <v>248</v>
      </c>
      <c r="C19" s="156"/>
      <c r="D19" s="157"/>
      <c r="E19" s="20">
        <v>1.2</v>
      </c>
      <c r="F19" s="159"/>
      <c r="G19" s="157"/>
      <c r="H19" s="20">
        <v>1.2</v>
      </c>
      <c r="I19" s="159"/>
    </row>
    <row r="20" spans="2:9" x14ac:dyDescent="0.45">
      <c r="B20" s="156" t="s">
        <v>353</v>
      </c>
      <c r="C20" s="159"/>
      <c r="D20" s="157"/>
      <c r="E20" s="158">
        <f>ROUNDUP(((IF(E26=0,E17*E18*E19,E17*E18*E19+E25*E18*E18*E17/4)-IF(E27=0,0,E22*E24*IF(E21="БНС",PI()*E23*E23/4,E23*E23)))),1)</f>
        <v>36.9</v>
      </c>
      <c r="F20" s="158"/>
      <c r="G20" s="157"/>
      <c r="H20" s="158">
        <f>ROUNDUP(((IF(H26=0,H17*H18*H19,H17*H18*H19+H25*H18*H18*H17/4)-IF(H27=0,0,H22*H24*IF(H21="БНС",PI()*H23*H23/4,H23*H23)))),1)</f>
        <v>9.5</v>
      </c>
      <c r="I20" s="159"/>
    </row>
    <row r="21" spans="2:9" x14ac:dyDescent="0.45">
      <c r="B21" s="156" t="s">
        <v>350</v>
      </c>
      <c r="C21" s="159"/>
      <c r="D21" s="157"/>
      <c r="E21" s="158" t="str">
        <f>IF(_1!E27&gt;0,"БНС","заб")</f>
        <v>заб</v>
      </c>
      <c r="F21" s="158"/>
      <c r="G21" s="157"/>
      <c r="H21" s="158" t="str">
        <f>IF(_1!H27&gt;0,"БНС","заб")</f>
        <v>БНС</v>
      </c>
      <c r="I21" s="159"/>
    </row>
    <row r="22" spans="2:9" x14ac:dyDescent="0.45">
      <c r="B22" s="156" t="s">
        <v>345</v>
      </c>
      <c r="C22" s="159"/>
      <c r="D22" s="157"/>
      <c r="E22" s="20">
        <v>9</v>
      </c>
      <c r="F22" s="159"/>
      <c r="G22" s="158"/>
      <c r="H22" s="20">
        <v>9</v>
      </c>
      <c r="I22" s="159"/>
    </row>
    <row r="23" spans="2:9" x14ac:dyDescent="0.45">
      <c r="B23" s="156" t="s">
        <v>351</v>
      </c>
      <c r="C23" s="159"/>
      <c r="D23" s="157"/>
      <c r="E23" s="158">
        <f>IF(E21="заб",_1!E14,_1!E26)</f>
        <v>0.35</v>
      </c>
      <c r="F23" s="158"/>
      <c r="G23" s="157"/>
      <c r="H23" s="158">
        <f>IF(H21="заб",_1!H14,_1!H26)</f>
        <v>1.2</v>
      </c>
      <c r="I23" s="159"/>
    </row>
    <row r="24" spans="2:9" x14ac:dyDescent="0.45">
      <c r="B24" s="156" t="s">
        <v>346</v>
      </c>
      <c r="C24" s="159"/>
      <c r="D24" s="157"/>
      <c r="E24" s="20">
        <v>0.1</v>
      </c>
      <c r="F24" s="159"/>
      <c r="G24" s="158"/>
      <c r="H24" s="20">
        <f>$E24</f>
        <v>0.1</v>
      </c>
      <c r="I24" s="159"/>
    </row>
    <row r="25" spans="2:9" x14ac:dyDescent="0.45">
      <c r="B25" s="156" t="s">
        <v>354</v>
      </c>
      <c r="C25" s="159"/>
      <c r="D25" s="157"/>
      <c r="E25" s="20">
        <v>0.02</v>
      </c>
      <c r="F25" s="159"/>
      <c r="G25" s="158"/>
      <c r="H25" s="20">
        <f>$E25</f>
        <v>0.02</v>
      </c>
      <c r="I25" s="159"/>
    </row>
    <row r="26" spans="2:9" x14ac:dyDescent="0.45">
      <c r="B26" s="156" t="s">
        <v>355</v>
      </c>
      <c r="C26" s="159"/>
      <c r="D26" s="157"/>
      <c r="E26" s="20">
        <v>0</v>
      </c>
      <c r="F26" s="159"/>
      <c r="G26" s="158"/>
      <c r="H26" s="20">
        <f>$E26</f>
        <v>0</v>
      </c>
      <c r="I26" s="159"/>
    </row>
    <row r="27" spans="2:9" x14ac:dyDescent="0.45">
      <c r="B27" s="156" t="s">
        <v>356</v>
      </c>
      <c r="C27" s="159"/>
      <c r="D27" s="157"/>
      <c r="E27" s="20">
        <v>1</v>
      </c>
      <c r="F27" s="159"/>
      <c r="G27" s="158"/>
      <c r="H27" s="223">
        <f>$E27</f>
        <v>1</v>
      </c>
      <c r="I27" s="159"/>
    </row>
    <row r="28" spans="2:9" x14ac:dyDescent="0.45">
      <c r="B28" s="163" t="s">
        <v>8</v>
      </c>
      <c r="C28" s="163"/>
      <c r="D28" s="164"/>
      <c r="E28" s="165"/>
      <c r="F28" s="166"/>
      <c r="G28" s="164"/>
      <c r="H28" s="165"/>
      <c r="I28" s="166"/>
    </row>
    <row r="29" spans="2:9" x14ac:dyDescent="0.45">
      <c r="B29" s="156" t="s">
        <v>349</v>
      </c>
      <c r="C29" s="156"/>
      <c r="D29" s="157"/>
      <c r="E29" s="20" t="s">
        <v>367</v>
      </c>
      <c r="F29" s="159"/>
      <c r="G29" s="157"/>
      <c r="H29" s="20" t="s">
        <v>368</v>
      </c>
      <c r="I29" s="159"/>
    </row>
    <row r="30" spans="2:9" s="246" customFormat="1" ht="10.5" x14ac:dyDescent="0.45">
      <c r="B30" s="250" t="s">
        <v>348</v>
      </c>
      <c r="C30" s="251"/>
      <c r="D30" s="252"/>
      <c r="E30" s="253" t="str">
        <f>CONCATENATE("[ARM2.xls]",E29)</f>
        <v>[ARM2.xls]Ст1.1-Ст1.4</v>
      </c>
      <c r="F30" s="251"/>
      <c r="G30" s="253"/>
      <c r="H30" s="253" t="str">
        <f>CONCATENATE("[ARM2.xls]",H29)</f>
        <v>[ARM2.xls]Ст2.1-Ст2.4</v>
      </c>
      <c r="I30" s="251"/>
    </row>
    <row r="31" spans="2:9" x14ac:dyDescent="0.45">
      <c r="B31" s="156" t="s">
        <v>7</v>
      </c>
      <c r="C31" s="156">
        <f>D31+G31</f>
        <v>8</v>
      </c>
      <c r="D31" s="157">
        <f>SUM(E31:F31)</f>
        <v>4</v>
      </c>
      <c r="E31" s="20">
        <f>E32*E16</f>
        <v>4</v>
      </c>
      <c r="F31" s="159"/>
      <c r="G31" s="157">
        <f>SUM(H31:I31)</f>
        <v>4</v>
      </c>
      <c r="H31" s="20">
        <f>H32*H16</f>
        <v>4</v>
      </c>
      <c r="I31" s="159"/>
    </row>
    <row r="32" spans="2:9" x14ac:dyDescent="0.45">
      <c r="B32" s="156" t="s">
        <v>11</v>
      </c>
      <c r="C32" s="156"/>
      <c r="D32" s="157"/>
      <c r="E32" s="20">
        <v>1</v>
      </c>
      <c r="F32" s="159"/>
      <c r="G32" s="157"/>
      <c r="H32" s="20">
        <v>1</v>
      </c>
      <c r="I32" s="159"/>
    </row>
    <row r="33" spans="2:9" x14ac:dyDescent="0.45">
      <c r="B33" s="156" t="s">
        <v>358</v>
      </c>
      <c r="C33" s="156"/>
      <c r="D33" s="157"/>
      <c r="E33" s="20">
        <v>2</v>
      </c>
      <c r="F33" s="159"/>
      <c r="G33" s="157"/>
      <c r="H33" s="20">
        <v>1</v>
      </c>
      <c r="I33" s="159"/>
    </row>
    <row r="34" spans="2:9" x14ac:dyDescent="0.45">
      <c r="B34" s="156" t="s">
        <v>357</v>
      </c>
      <c r="C34" s="156"/>
      <c r="D34" s="157"/>
      <c r="E34" s="20">
        <v>5.7</v>
      </c>
      <c r="F34" s="159"/>
      <c r="G34" s="157"/>
      <c r="H34" s="20">
        <v>15</v>
      </c>
      <c r="I34" s="159"/>
    </row>
    <row r="35" spans="2:9" x14ac:dyDescent="0.45">
      <c r="B35" s="160" t="s">
        <v>359</v>
      </c>
      <c r="C35" s="160"/>
      <c r="D35" s="161"/>
      <c r="E35" s="264">
        <f>ROUNDUP(PI()*_2!E33*_2!E33/4*_2!E34,1)</f>
        <v>18</v>
      </c>
      <c r="F35" s="162"/>
      <c r="G35" s="161"/>
      <c r="H35" s="264">
        <f>ROUNDUP(PI()*_2!H33*_2!H33/4*_2!H34,1)</f>
        <v>11.799999999999999</v>
      </c>
      <c r="I35" s="162"/>
    </row>
    <row r="36" spans="2:9" x14ac:dyDescent="0.45">
      <c r="B36" s="156" t="s">
        <v>370</v>
      </c>
      <c r="C36" s="156"/>
      <c r="D36" s="157"/>
      <c r="E36" s="20"/>
      <c r="F36" s="159"/>
      <c r="G36" s="157"/>
      <c r="H36" s="20"/>
      <c r="I36" s="159"/>
    </row>
    <row r="37" spans="2:9" x14ac:dyDescent="0.45">
      <c r="B37" s="156" t="s">
        <v>371</v>
      </c>
      <c r="C37" s="156"/>
      <c r="D37" s="157"/>
      <c r="E37" s="20" t="s">
        <v>372</v>
      </c>
      <c r="F37" s="159"/>
      <c r="G37" s="157"/>
      <c r="H37" s="20" t="s">
        <v>382</v>
      </c>
      <c r="I37" s="159"/>
    </row>
    <row r="38" spans="2:9" x14ac:dyDescent="0.45">
      <c r="B38" s="156" t="s">
        <v>348</v>
      </c>
      <c r="C38" s="156"/>
      <c r="D38" s="157"/>
      <c r="E38" s="253" t="str">
        <f>CONCATENATE("[ARM2.xls]",E37)</f>
        <v>[ARM2.xls]Ог1</v>
      </c>
      <c r="F38" s="159"/>
      <c r="G38" s="157"/>
      <c r="H38" s="253" t="str">
        <f>CONCATENATE("[ARM2.xls]",H37)</f>
        <v>[ARM2.xls]Ог2</v>
      </c>
      <c r="I38" s="159"/>
    </row>
    <row r="39" spans="2:9" x14ac:dyDescent="0.45">
      <c r="B39" s="156" t="s">
        <v>373</v>
      </c>
      <c r="C39" s="156"/>
      <c r="D39" s="157"/>
      <c r="E39" s="20">
        <v>2.5</v>
      </c>
      <c r="F39" s="159"/>
      <c r="G39" s="157"/>
      <c r="H39" s="20">
        <v>0</v>
      </c>
      <c r="I39" s="159"/>
    </row>
    <row r="40" spans="2:9" x14ac:dyDescent="0.45">
      <c r="B40" s="156" t="s">
        <v>374</v>
      </c>
      <c r="C40" s="156"/>
      <c r="D40" s="157"/>
      <c r="E40" s="20">
        <v>1</v>
      </c>
      <c r="F40" s="159"/>
      <c r="G40" s="157"/>
      <c r="H40" s="20">
        <v>0</v>
      </c>
      <c r="I40" s="159"/>
    </row>
    <row r="41" spans="2:9" x14ac:dyDescent="0.45">
      <c r="B41" s="156" t="s">
        <v>375</v>
      </c>
      <c r="C41" s="156"/>
      <c r="D41" s="157"/>
      <c r="E41" s="20">
        <v>0.5</v>
      </c>
      <c r="F41" s="159"/>
      <c r="G41" s="157"/>
      <c r="H41" s="20">
        <v>0</v>
      </c>
      <c r="I41" s="159"/>
    </row>
    <row r="42" spans="2:9" x14ac:dyDescent="0.45">
      <c r="B42" s="156" t="s">
        <v>376</v>
      </c>
      <c r="C42" s="156"/>
      <c r="D42" s="157"/>
      <c r="E42" s="20">
        <v>1</v>
      </c>
      <c r="F42" s="159"/>
      <c r="G42" s="157"/>
      <c r="H42" s="20">
        <v>0</v>
      </c>
      <c r="I42" s="159"/>
    </row>
    <row r="43" spans="2:9" x14ac:dyDescent="0.45">
      <c r="B43" s="160" t="s">
        <v>377</v>
      </c>
      <c r="C43" s="156"/>
      <c r="D43" s="157"/>
      <c r="E43" s="158">
        <f>ROUNDUP(PI()*(E41*E39*E39/4+1/3*E42*(E39*E39+E39*E40+E40*E40)/4),1)</f>
        <v>5.0999999999999996</v>
      </c>
      <c r="F43" s="159"/>
      <c r="G43" s="157"/>
      <c r="H43" s="158">
        <f>ROUNDUP(PI()*(H41*H39*H39/4+1/3*H42*(H39*H39+H39*H40+H40*H40)/4),1)</f>
        <v>0</v>
      </c>
      <c r="I43" s="159"/>
    </row>
    <row r="44" spans="2:9" x14ac:dyDescent="0.45">
      <c r="B44" s="258" t="s">
        <v>378</v>
      </c>
      <c r="C44" s="160"/>
      <c r="D44" s="161"/>
      <c r="E44" s="265">
        <f>E33-E40</f>
        <v>1</v>
      </c>
      <c r="F44" s="162"/>
      <c r="G44" s="161"/>
      <c r="H44" s="265">
        <f>H33-H40</f>
        <v>1</v>
      </c>
      <c r="I44" s="162"/>
    </row>
    <row r="45" spans="2:9" x14ac:dyDescent="0.45">
      <c r="B45" s="156" t="s">
        <v>10</v>
      </c>
      <c r="C45" s="156"/>
      <c r="D45" s="157"/>
      <c r="E45" s="158"/>
      <c r="F45" s="159"/>
      <c r="G45" s="157"/>
      <c r="H45" s="158"/>
      <c r="I45" s="159"/>
    </row>
    <row r="46" spans="2:9" x14ac:dyDescent="0.45">
      <c r="B46" s="156" t="s">
        <v>342</v>
      </c>
      <c r="C46" s="156"/>
      <c r="D46" s="157"/>
      <c r="E46" s="20">
        <v>0.15</v>
      </c>
      <c r="F46" s="159"/>
      <c r="G46" s="157"/>
      <c r="H46" s="20">
        <f>$E46</f>
        <v>0.15</v>
      </c>
      <c r="I46" s="159"/>
    </row>
    <row r="47" spans="2:9" x14ac:dyDescent="0.45">
      <c r="B47" s="156" t="s">
        <v>362</v>
      </c>
      <c r="C47" s="156"/>
      <c r="D47" s="157"/>
      <c r="E47" s="20">
        <f>_1!E5</f>
        <v>139.30000000000001</v>
      </c>
      <c r="F47" s="159"/>
      <c r="G47" s="157"/>
      <c r="H47" s="20">
        <f>_1!H5</f>
        <v>139.19999999999999</v>
      </c>
      <c r="I47" s="159"/>
    </row>
    <row r="48" spans="2:9" x14ac:dyDescent="0.45">
      <c r="B48" s="235" t="s">
        <v>366</v>
      </c>
      <c r="C48" s="235"/>
      <c r="D48" s="236"/>
      <c r="E48" s="223">
        <v>0</v>
      </c>
      <c r="F48" s="237"/>
      <c r="G48" s="236"/>
      <c r="H48" s="223">
        <f>$E48</f>
        <v>0</v>
      </c>
      <c r="I48" s="237"/>
    </row>
    <row r="49" spans="2:9" ht="14.65" thickBot="1" x14ac:dyDescent="0.5">
      <c r="B49" s="234" t="s">
        <v>344</v>
      </c>
      <c r="C49" s="14"/>
      <c r="D49" s="11"/>
      <c r="E49" s="62">
        <v>1</v>
      </c>
      <c r="F49" s="13"/>
      <c r="G49" s="11"/>
      <c r="H49" s="266">
        <f>$E49</f>
        <v>1</v>
      </c>
      <c r="I49" s="13"/>
    </row>
  </sheetData>
  <conditionalFormatting sqref="H44">
    <cfRule type="cellIs" dxfId="1" priority="2" stopIfTrue="1" operator="equal">
      <formula>0</formula>
    </cfRule>
  </conditionalFormatting>
  <conditionalFormatting sqref="E44">
    <cfRule type="cellIs" dxfId="0" priority="1" stopIfTrue="1" operator="equal">
      <formula>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2:Q124"/>
  <sheetViews>
    <sheetView topLeftCell="A17" workbookViewId="0">
      <selection activeCell="G23" sqref="G23"/>
    </sheetView>
  </sheetViews>
  <sheetFormatPr defaultColWidth="9.1328125" defaultRowHeight="14.25" x14ac:dyDescent="0.45"/>
  <cols>
    <col min="1" max="1" width="31.53125" style="1" customWidth="1"/>
    <col min="2" max="2" width="5.6640625" style="1" customWidth="1"/>
    <col min="3" max="3" width="3.6640625" style="1" customWidth="1"/>
    <col min="4" max="4" width="4.6640625" style="15" customWidth="1"/>
    <col min="5" max="5" width="12" style="1" bestFit="1" customWidth="1"/>
    <col min="6" max="7" width="10.33203125" style="1" bestFit="1" customWidth="1"/>
    <col min="8" max="11" width="9.1328125" style="1"/>
    <col min="12" max="12" width="10.33203125" style="1" bestFit="1" customWidth="1"/>
    <col min="13" max="16384" width="9.1328125" style="1"/>
  </cols>
  <sheetData>
    <row r="2" spans="1:17" ht="15.4" x14ac:dyDescent="0.45">
      <c r="O2" s="25"/>
      <c r="P2" s="26"/>
    </row>
    <row r="3" spans="1:17" ht="18.75" x14ac:dyDescent="0.7">
      <c r="A3" s="238"/>
      <c r="B3" s="239"/>
    </row>
    <row r="4" spans="1:17" ht="15.4" x14ac:dyDescent="0.45">
      <c r="O4" s="27"/>
      <c r="P4" s="28"/>
    </row>
    <row r="5" spans="1:17" ht="14.65" thickBot="1" x14ac:dyDescent="0.5"/>
    <row r="6" spans="1:17" x14ac:dyDescent="0.45">
      <c r="A6" s="4"/>
      <c r="B6" s="5"/>
      <c r="C6" s="5"/>
      <c r="D6" s="55"/>
      <c r="E6" s="404" t="s">
        <v>0</v>
      </c>
      <c r="F6" s="411" t="s">
        <v>1</v>
      </c>
      <c r="G6" s="412"/>
      <c r="H6" s="413"/>
      <c r="I6" s="411" t="s">
        <v>5</v>
      </c>
      <c r="J6" s="412"/>
      <c r="K6" s="413"/>
      <c r="O6" s="414" t="s">
        <v>27</v>
      </c>
      <c r="P6" s="415" t="s">
        <v>28</v>
      </c>
      <c r="Q6" s="415"/>
    </row>
    <row r="7" spans="1:17" ht="14.65" thickBot="1" x14ac:dyDescent="0.5">
      <c r="A7" s="11"/>
      <c r="B7" s="12"/>
      <c r="C7" s="12"/>
      <c r="D7" s="56"/>
      <c r="E7" s="405"/>
      <c r="F7" s="12" t="s">
        <v>2</v>
      </c>
      <c r="G7" s="12" t="s">
        <v>3</v>
      </c>
      <c r="H7" s="13" t="s">
        <v>4</v>
      </c>
      <c r="I7" s="11" t="s">
        <v>2</v>
      </c>
      <c r="J7" s="12" t="s">
        <v>3</v>
      </c>
      <c r="K7" s="13" t="s">
        <v>4</v>
      </c>
      <c r="O7" s="414"/>
      <c r="P7" s="22" t="s">
        <v>29</v>
      </c>
      <c r="Q7" s="22" t="s">
        <v>30</v>
      </c>
    </row>
    <row r="8" spans="1:17" ht="15.4" x14ac:dyDescent="0.45">
      <c r="A8" s="57" t="s">
        <v>12</v>
      </c>
      <c r="B8" s="16"/>
      <c r="C8" s="16"/>
      <c r="D8" s="18"/>
      <c r="E8" s="206">
        <f>F8+I8</f>
        <v>0</v>
      </c>
      <c r="F8" s="194">
        <f>_2!E$16*G8+_2!F$16*H8</f>
        <v>0</v>
      </c>
      <c r="G8" s="5">
        <f>ROUND(((_2!E17+2*_2!E7)*(_2!E18+2*_2!E7)*_2!E6),1)</f>
        <v>0</v>
      </c>
      <c r="H8" s="5">
        <f>ROUND(((_2!F17+2*_2!F7)*(_2!F18+2*_2!F7)*_2!F6),1)</f>
        <v>0</v>
      </c>
      <c r="I8" s="21">
        <f>_2!H$16*J8+_2!I$16*K8</f>
        <v>0</v>
      </c>
      <c r="J8" s="5">
        <f>ROUND(((_2!H17+2*_2!H7)*(_2!H18+2*_2!H7)*_2!H6),1)</f>
        <v>0</v>
      </c>
      <c r="K8" s="6">
        <f>ROUND(((_2!I17+2*_2!I7)*(_2!I18+2*_2!I7)*_2!I6),1)</f>
        <v>0</v>
      </c>
      <c r="O8" s="24">
        <f>IF(E8=0,0,1)</f>
        <v>0</v>
      </c>
      <c r="P8" s="23"/>
      <c r="Q8" s="23"/>
    </row>
    <row r="9" spans="1:17" ht="15.4" x14ac:dyDescent="0.45">
      <c r="A9" s="57" t="s">
        <v>14</v>
      </c>
      <c r="B9" s="16"/>
      <c r="C9" s="16"/>
      <c r="D9" s="18"/>
      <c r="E9" s="3">
        <f>F9+I9</f>
        <v>0</v>
      </c>
      <c r="F9" s="20">
        <f>_2!E$16*G9+_2!F$16*H9</f>
        <v>0</v>
      </c>
      <c r="G9" s="1">
        <f>G8*_2!E8</f>
        <v>0</v>
      </c>
      <c r="H9" s="1">
        <f>H8*_2!F8</f>
        <v>0</v>
      </c>
      <c r="I9" s="9">
        <f>_2!H$16*J9+_2!I$16*K9</f>
        <v>0</v>
      </c>
      <c r="J9" s="1">
        <f>J8*_2!H8</f>
        <v>0</v>
      </c>
      <c r="K9" s="8">
        <f>K8*_2!I8</f>
        <v>0</v>
      </c>
      <c r="O9" s="24">
        <f t="shared" ref="O9:O77" si="0">IF(E9=0,0,1)</f>
        <v>0</v>
      </c>
      <c r="P9" s="23"/>
      <c r="Q9" s="23"/>
    </row>
    <row r="10" spans="1:17" ht="15.75" thickBot="1" x14ac:dyDescent="0.5">
      <c r="A10" s="57" t="s">
        <v>9</v>
      </c>
      <c r="B10" s="16"/>
      <c r="C10" s="16"/>
      <c r="D10" s="18"/>
      <c r="E10" s="3">
        <f>F10+I10</f>
        <v>18.399999999999999</v>
      </c>
      <c r="F10" s="20">
        <f>_2!E$16*G10+_2!F$16*H10</f>
        <v>14</v>
      </c>
      <c r="G10" s="1">
        <f>ROUND(((_2!E17+2*_2!E11)*(_2!E18+2*_2!E11)*_2!E10),1)</f>
        <v>3.5</v>
      </c>
      <c r="H10" s="1">
        <f>ROUND(((_2!F17+2*_2!F11)*(_2!F18+2*_2!F11)*_2!F10),1)</f>
        <v>0</v>
      </c>
      <c r="I10" s="9">
        <f>_2!H$16*J10+_2!I$16*K10</f>
        <v>4.4000000000000004</v>
      </c>
      <c r="J10" s="1">
        <f>ROUND(((_2!H17+2*_2!H11)*(_2!H18+2*_2!H11)*_2!H10),1)</f>
        <v>1.1000000000000001</v>
      </c>
      <c r="K10" s="8">
        <f>ROUND(((_2!I17+2*_2!I11)*(_2!I18+2*_2!I11)*_2!I10),1)</f>
        <v>0</v>
      </c>
      <c r="O10" s="24">
        <f t="shared" si="0"/>
        <v>1</v>
      </c>
      <c r="P10" s="23"/>
      <c r="Q10" s="23"/>
    </row>
    <row r="11" spans="1:17" ht="15.4" x14ac:dyDescent="0.45">
      <c r="A11" s="267" t="s">
        <v>6</v>
      </c>
      <c r="B11" s="268" t="s">
        <v>35</v>
      </c>
      <c r="C11" s="154"/>
      <c r="D11" s="269"/>
      <c r="E11" s="206" t="e">
        <f ca="1">F11+I11</f>
        <v>#REF!</v>
      </c>
      <c r="F11" s="194" t="e">
        <f ca="1">_2!E$16*G11+_2!F$16*H11</f>
        <v>#REF!</v>
      </c>
      <c r="G11" s="5" t="e">
        <f ca="1">IF(G$13=$B11,_2!E20,0)</f>
        <v>#REF!</v>
      </c>
      <c r="H11" s="5">
        <f ca="1">IF(H$13=$B11,_2!F20,0)</f>
        <v>0</v>
      </c>
      <c r="I11" s="21" t="e">
        <f ca="1">_2!H$16*J11+_2!I$16*K11</f>
        <v>#REF!</v>
      </c>
      <c r="J11" s="5" t="e">
        <f ca="1">IF(J$13=$B11,_2!H20,0)</f>
        <v>#REF!</v>
      </c>
      <c r="K11" s="6">
        <f ca="1">IF(K$13=$B11,_2!I20,0)</f>
        <v>0</v>
      </c>
      <c r="O11" s="24" t="e">
        <f t="shared" ca="1" si="0"/>
        <v>#REF!</v>
      </c>
      <c r="P11" s="23"/>
      <c r="Q11" s="23"/>
    </row>
    <row r="12" spans="1:17" ht="15.4" x14ac:dyDescent="0.45">
      <c r="A12" s="57"/>
      <c r="B12" s="20"/>
      <c r="C12" s="158"/>
      <c r="D12" s="256"/>
      <c r="E12" s="3" t="e">
        <f ca="1">F12+I12</f>
        <v>#REF!</v>
      </c>
      <c r="F12" s="20" t="e">
        <f ca="1">_2!E$16*G12+_2!F$16*H12</f>
        <v>#REF!</v>
      </c>
      <c r="G12" s="1" t="e">
        <f ca="1">IF(G$13&lt;&gt;$B11,_2!#REF!,0)</f>
        <v>#REF!</v>
      </c>
      <c r="H12" s="1">
        <f ca="1">IF(H$13&lt;&gt;$B11,_2!F20,0)</f>
        <v>0</v>
      </c>
      <c r="I12" s="9" t="e">
        <f ca="1">_2!H$16*J12+_2!I$16*K12</f>
        <v>#REF!</v>
      </c>
      <c r="J12" s="1" t="e">
        <f ca="1">IF(J$13&lt;&gt;$B11,_2!#REF!,0)</f>
        <v>#REF!</v>
      </c>
      <c r="K12" s="8">
        <f ca="1">IF(K$13&lt;&gt;$B11,_2!I20,0)</f>
        <v>0</v>
      </c>
      <c r="O12" s="24" t="e">
        <f t="shared" ca="1" si="0"/>
        <v>#REF!</v>
      </c>
      <c r="P12" s="23"/>
      <c r="Q12" s="23"/>
    </row>
    <row r="13" spans="1:17" s="246" customFormat="1" ht="13.15" x14ac:dyDescent="0.45">
      <c r="A13" s="241" t="s">
        <v>352</v>
      </c>
      <c r="B13" s="253"/>
      <c r="C13" s="253"/>
      <c r="D13" s="257"/>
      <c r="E13" s="248"/>
      <c r="F13" s="249"/>
      <c r="G13" s="244" t="e">
        <f ca="1">IF(_2!E$16&gt;0,INDIRECT(ADDRESS(7,18,,,_2!E$14)),0)</f>
        <v>#REF!</v>
      </c>
      <c r="H13" s="244">
        <f ca="1">IF(_2!F$16&gt;0,INDIRECT(ADDRESS(7,18,,,_2!F$14)),0)</f>
        <v>0</v>
      </c>
      <c r="I13" s="245"/>
      <c r="J13" s="244" t="e">
        <f ca="1">IF(_2!H$16&gt;0,INDIRECT(ADDRESS(7,18,,,_2!H$14)),0)</f>
        <v>#REF!</v>
      </c>
      <c r="K13" s="263">
        <f ca="1">IF(_2!I$16&gt;0,INDIRECT(ADDRESS(7,18,,,_2!I$14)),0)</f>
        <v>0</v>
      </c>
      <c r="O13" s="24">
        <f t="shared" si="0"/>
        <v>0</v>
      </c>
      <c r="P13" s="247"/>
      <c r="Q13" s="247"/>
    </row>
    <row r="14" spans="1:17" ht="15.4" x14ac:dyDescent="0.4">
      <c r="A14" s="83" t="s">
        <v>26</v>
      </c>
      <c r="B14" s="169" t="s">
        <v>338</v>
      </c>
      <c r="C14" s="52" t="s">
        <v>145</v>
      </c>
      <c r="D14" s="84">
        <v>3</v>
      </c>
      <c r="E14" s="3" t="e">
        <f t="shared" ref="E14:E45" ca="1" si="1">F14+I14</f>
        <v>#REF!</v>
      </c>
      <c r="F14" s="20" t="e">
        <f ca="1">_2!E$16*G14+_2!F$16*H14</f>
        <v>#REF!</v>
      </c>
      <c r="G14" s="10" t="e">
        <f ca="1">INDIRECT(ADDRESS(5,4,,,_2!E$14))</f>
        <v>#REF!</v>
      </c>
      <c r="H14" s="10">
        <f ca="1">IF(_2!F$16&gt;0,INDIRECT(ADDRESS(5,4,,,_2!F$14)),0)</f>
        <v>0</v>
      </c>
      <c r="I14" s="9" t="e">
        <f ca="1">_2!H$16*J14+_2!I$16*K14</f>
        <v>#REF!</v>
      </c>
      <c r="J14" s="10" t="e">
        <f ca="1">IF(_2!H$16&gt;0,INDIRECT(ADDRESS(5,4,,,_2!H$14)),0)</f>
        <v>#REF!</v>
      </c>
      <c r="K14" s="230">
        <f ca="1">IF(_2!I$16&gt;0,INDIRECT(ADDRESS(5,4,,,_2!I$14)),0)</f>
        <v>0</v>
      </c>
      <c r="O14" s="24" t="e">
        <f t="shared" ca="1" si="0"/>
        <v>#REF!</v>
      </c>
      <c r="P14" s="23"/>
      <c r="Q14" s="23"/>
    </row>
    <row r="15" spans="1:17" ht="15.4" x14ac:dyDescent="0.4">
      <c r="A15" s="83" t="s">
        <v>26</v>
      </c>
      <c r="B15" s="169" t="s">
        <v>338</v>
      </c>
      <c r="C15" s="52" t="s">
        <v>145</v>
      </c>
      <c r="D15" s="84">
        <v>4</v>
      </c>
      <c r="E15" s="3" t="e">
        <f t="shared" ca="1" si="1"/>
        <v>#REF!</v>
      </c>
      <c r="F15" s="20" t="e">
        <f ca="1">_2!E$16*G15+_2!F$16*H15</f>
        <v>#REF!</v>
      </c>
      <c r="G15" s="10" t="e">
        <f ca="1">IF(_2!E$16&gt;0,INDIRECT(ADDRESS(6,4,,,_2!E$14)),0)</f>
        <v>#REF!</v>
      </c>
      <c r="H15" s="10">
        <f ca="1">IF(_2!F$16&gt;0,INDIRECT(ADDRESS(6,4,,,_2!F$14)),0)</f>
        <v>0</v>
      </c>
      <c r="I15" s="9" t="e">
        <f ca="1">_2!H$16*J15+_2!I$16*K15</f>
        <v>#REF!</v>
      </c>
      <c r="J15" s="10" t="e">
        <f ca="1">IF(_2!H$16&gt;0,INDIRECT(ADDRESS(6,4,,,_2!H$14)),0)</f>
        <v>#REF!</v>
      </c>
      <c r="K15" s="230">
        <f ca="1">IF(_2!I$16&gt;0,INDIRECT(ADDRESS(6,4,,,_2!I$14)),0)</f>
        <v>0</v>
      </c>
      <c r="O15" s="24" t="e">
        <f t="shared" ca="1" si="0"/>
        <v>#REF!</v>
      </c>
      <c r="P15" s="23"/>
      <c r="Q15" s="23"/>
    </row>
    <row r="16" spans="1:17" ht="15.4" x14ac:dyDescent="0.4">
      <c r="A16" s="83" t="s">
        <v>26</v>
      </c>
      <c r="B16" s="169" t="s">
        <v>338</v>
      </c>
      <c r="C16" s="52" t="s">
        <v>145</v>
      </c>
      <c r="D16" s="84">
        <v>5</v>
      </c>
      <c r="E16" s="3" t="e">
        <f t="shared" ca="1" si="1"/>
        <v>#REF!</v>
      </c>
      <c r="F16" s="20" t="e">
        <f ca="1">_2!E$16*G16+_2!F$16*H16</f>
        <v>#REF!</v>
      </c>
      <c r="G16" s="10" t="e">
        <f ca="1">IF(_2!E$16&gt;0,INDIRECT(ADDRESS(7,4,,,_2!E$14)),0)</f>
        <v>#REF!</v>
      </c>
      <c r="H16" s="10">
        <f ca="1">IF(_2!F$16&gt;0,INDIRECT(ADDRESS(7,4,,,_2!F$14)),0)</f>
        <v>0</v>
      </c>
      <c r="I16" s="9" t="e">
        <f ca="1">_2!H$16*J16+_2!I$16*K16</f>
        <v>#REF!</v>
      </c>
      <c r="J16" s="10" t="e">
        <f ca="1">IF(_2!H$16&gt;0,INDIRECT(ADDRESS(7,4,,,_2!H$14)),0)</f>
        <v>#REF!</v>
      </c>
      <c r="K16" s="230">
        <f ca="1">IF(_2!I$16&gt;0,INDIRECT(ADDRESS(7,4,,,_2!I$14)),0)</f>
        <v>0</v>
      </c>
      <c r="O16" s="24" t="e">
        <f t="shared" ca="1" si="0"/>
        <v>#REF!</v>
      </c>
      <c r="P16" s="23"/>
      <c r="Q16" s="23"/>
    </row>
    <row r="17" spans="1:17" ht="15.4" x14ac:dyDescent="0.4">
      <c r="A17" s="58" t="s">
        <v>26</v>
      </c>
      <c r="B17" s="168" t="s">
        <v>192</v>
      </c>
      <c r="C17" s="52" t="s">
        <v>145</v>
      </c>
      <c r="D17" s="19">
        <v>6</v>
      </c>
      <c r="E17" s="3" t="e">
        <f t="shared" ca="1" si="1"/>
        <v>#REF!</v>
      </c>
      <c r="F17" s="20" t="e">
        <f ca="1">_2!E$16*G17+_2!F$16*H17</f>
        <v>#REF!</v>
      </c>
      <c r="G17" s="10" t="e">
        <f ca="1">IF(_2!E$16&gt;0,INDIRECT(ADDRESS(8,3,,,_2!E$14)),0)</f>
        <v>#REF!</v>
      </c>
      <c r="H17" s="10">
        <f ca="1">IF(_2!F$16&gt;0,INDIRECT(ADDRESS(8,3,,,_2!F$14)),0)</f>
        <v>0</v>
      </c>
      <c r="I17" s="9" t="e">
        <f ca="1">_2!H$16*J17+_2!I$16*K17</f>
        <v>#REF!</v>
      </c>
      <c r="J17" s="10" t="e">
        <f ca="1">IF(_2!H$16&gt;0,INDIRECT(ADDRESS(8,3,,,_2!H$14)),0)</f>
        <v>#REF!</v>
      </c>
      <c r="K17" s="230">
        <f ca="1">IF(_2!I$16&gt;0,INDIRECT(ADDRESS(8,3,,,_2!I$14)),0)</f>
        <v>0</v>
      </c>
      <c r="O17" s="24" t="e">
        <f t="shared" ca="1" si="0"/>
        <v>#REF!</v>
      </c>
      <c r="P17" s="23"/>
      <c r="Q17" s="23"/>
    </row>
    <row r="18" spans="1:17" ht="15.4" x14ac:dyDescent="0.4">
      <c r="A18" s="58" t="s">
        <v>26</v>
      </c>
      <c r="B18" s="168" t="s">
        <v>192</v>
      </c>
      <c r="C18" s="52" t="s">
        <v>145</v>
      </c>
      <c r="D18" s="19">
        <v>8</v>
      </c>
      <c r="E18" s="3" t="e">
        <f t="shared" ca="1" si="1"/>
        <v>#REF!</v>
      </c>
      <c r="F18" s="20" t="e">
        <f ca="1">_2!E$16*G18+_2!F$16*H18</f>
        <v>#REF!</v>
      </c>
      <c r="G18" s="10" t="e">
        <f ca="1">IF(_2!E$16&gt;0,INDIRECT(ADDRESS(9,3,,,_2!E$14)),0)</f>
        <v>#REF!</v>
      </c>
      <c r="H18" s="10">
        <f ca="1">IF(_2!F$16&gt;0,INDIRECT(ADDRESS(9,3,,,_2!F$14)),0)</f>
        <v>0</v>
      </c>
      <c r="I18" s="9" t="e">
        <f ca="1">_2!H$16*J18+_2!I$16*K18</f>
        <v>#REF!</v>
      </c>
      <c r="J18" s="10" t="e">
        <f ca="1">IF(_2!H$16&gt;0,INDIRECT(ADDRESS(9,3,,,_2!H$14)),0)</f>
        <v>#REF!</v>
      </c>
      <c r="K18" s="230">
        <f ca="1">IF(_2!I$16&gt;0,INDIRECT(ADDRESS(9,3,,,_2!I$14)),0)</f>
        <v>0</v>
      </c>
      <c r="M18" s="15"/>
      <c r="O18" s="24" t="e">
        <f t="shared" ca="1" si="0"/>
        <v>#REF!</v>
      </c>
      <c r="P18" s="23"/>
      <c r="Q18" s="23"/>
    </row>
    <row r="19" spans="1:17" ht="15.4" x14ac:dyDescent="0.4">
      <c r="A19" s="58" t="s">
        <v>26</v>
      </c>
      <c r="B19" s="168" t="s">
        <v>192</v>
      </c>
      <c r="C19" s="52" t="s">
        <v>145</v>
      </c>
      <c r="D19" s="19">
        <v>10</v>
      </c>
      <c r="E19" s="3" t="e">
        <f t="shared" ca="1" si="1"/>
        <v>#REF!</v>
      </c>
      <c r="F19" s="20" t="e">
        <f ca="1">_2!E$16*G19+_2!F$16*H19</f>
        <v>#REF!</v>
      </c>
      <c r="G19" s="10" t="e">
        <f ca="1">IF(_2!E$16&gt;0,INDIRECT(ADDRESS(10,3,,,_2!E$14)),0)</f>
        <v>#REF!</v>
      </c>
      <c r="H19" s="10">
        <f ca="1">IF(_2!F$16&gt;0,INDIRECT(ADDRESS(10,3,,,_2!F$14)),0)</f>
        <v>0</v>
      </c>
      <c r="I19" s="9" t="e">
        <f ca="1">_2!H$16*J19+_2!I$16*K19</f>
        <v>#REF!</v>
      </c>
      <c r="J19" s="10" t="e">
        <f ca="1">IF(_2!H$16&gt;0,INDIRECT(ADDRESS(10,3,,,_2!H$14)),0)</f>
        <v>#REF!</v>
      </c>
      <c r="K19" s="230">
        <f ca="1">IF(_2!I$16&gt;0,INDIRECT(ADDRESS(10,3,,,_2!I$14)),0)</f>
        <v>0</v>
      </c>
      <c r="O19" s="24" t="e">
        <f t="shared" ca="1" si="0"/>
        <v>#REF!</v>
      </c>
      <c r="P19" s="23"/>
      <c r="Q19" s="23"/>
    </row>
    <row r="20" spans="1:17" ht="15.4" x14ac:dyDescent="0.4">
      <c r="A20" s="58" t="s">
        <v>26</v>
      </c>
      <c r="B20" s="168" t="s">
        <v>192</v>
      </c>
      <c r="C20" s="52" t="s">
        <v>145</v>
      </c>
      <c r="D20" s="19">
        <v>12</v>
      </c>
      <c r="E20" s="3" t="e">
        <f t="shared" ca="1" si="1"/>
        <v>#REF!</v>
      </c>
      <c r="F20" s="20" t="e">
        <f ca="1">_2!E$16*G20+_2!F$16*H20</f>
        <v>#REF!</v>
      </c>
      <c r="G20" s="10" t="e">
        <f ca="1">IF(_2!E$16&gt;0,INDIRECT(ADDRESS(11,3,,,_2!E$14)),0)</f>
        <v>#REF!</v>
      </c>
      <c r="H20" s="10">
        <f ca="1">IF(_2!F$16&gt;0,INDIRECT(ADDRESS(11,3,,,_2!F$14)),0)</f>
        <v>0</v>
      </c>
      <c r="I20" s="9" t="e">
        <f ca="1">_2!H$16*J20+_2!I$16*K20</f>
        <v>#REF!</v>
      </c>
      <c r="J20" s="10" t="e">
        <f ca="1">IF(_2!H$16&gt;0,INDIRECT(ADDRESS(11,3,,,_2!H$14)),0)</f>
        <v>#REF!</v>
      </c>
      <c r="K20" s="230">
        <f ca="1">IF(_2!I$16&gt;0,INDIRECT(ADDRESS(11,3,,,_2!I$14)),0)</f>
        <v>0</v>
      </c>
      <c r="O20" s="24" t="e">
        <f t="shared" ca="1" si="0"/>
        <v>#REF!</v>
      </c>
      <c r="P20" s="23"/>
      <c r="Q20" s="23"/>
    </row>
    <row r="21" spans="1:17" ht="15.4" x14ac:dyDescent="0.4">
      <c r="A21" s="58" t="s">
        <v>26</v>
      </c>
      <c r="B21" s="168" t="s">
        <v>192</v>
      </c>
      <c r="C21" s="52" t="s">
        <v>145</v>
      </c>
      <c r="D21" s="19">
        <v>14</v>
      </c>
      <c r="E21" s="3" t="e">
        <f t="shared" ca="1" si="1"/>
        <v>#REF!</v>
      </c>
      <c r="F21" s="20" t="e">
        <f ca="1">_2!E$16*G21+_2!F$16*H21</f>
        <v>#REF!</v>
      </c>
      <c r="G21" s="10" t="e">
        <f ca="1">IF(_2!E$16&gt;0,INDIRECT(ADDRESS(12,3,,,_2!E$14)),0)</f>
        <v>#REF!</v>
      </c>
      <c r="H21" s="10">
        <f ca="1">IF(_2!F$16&gt;0,INDIRECT(ADDRESS(12,3,,,_2!F$14)),0)</f>
        <v>0</v>
      </c>
      <c r="I21" s="9" t="e">
        <f ca="1">_2!H$16*J21+_2!I$16*K21</f>
        <v>#REF!</v>
      </c>
      <c r="J21" s="10" t="e">
        <f ca="1">IF(_2!H$16&gt;0,INDIRECT(ADDRESS(12,3,,,_2!H$14)),0)</f>
        <v>#REF!</v>
      </c>
      <c r="K21" s="230">
        <f ca="1">IF(_2!I$16&gt;0,INDIRECT(ADDRESS(12,3,,,_2!I$14)),0)</f>
        <v>0</v>
      </c>
      <c r="O21" s="24" t="e">
        <f t="shared" ca="1" si="0"/>
        <v>#REF!</v>
      </c>
      <c r="P21" s="23"/>
      <c r="Q21" s="23"/>
    </row>
    <row r="22" spans="1:17" ht="15.4" x14ac:dyDescent="0.4">
      <c r="A22" s="58" t="s">
        <v>26</v>
      </c>
      <c r="B22" s="168" t="s">
        <v>192</v>
      </c>
      <c r="C22" s="52" t="s">
        <v>145</v>
      </c>
      <c r="D22" s="19">
        <v>16</v>
      </c>
      <c r="E22" s="3" t="e">
        <f t="shared" ca="1" si="1"/>
        <v>#REF!</v>
      </c>
      <c r="F22" s="20" t="e">
        <f ca="1">_2!E$16*G22+_2!F$16*H22</f>
        <v>#REF!</v>
      </c>
      <c r="G22" s="10" t="e">
        <f ca="1">IF(_2!E$16&gt;0,INDIRECT(ADDRESS(13,3,,,_2!E$14)),0)</f>
        <v>#REF!</v>
      </c>
      <c r="H22" s="10">
        <f ca="1">IF(_2!F$16&gt;0,INDIRECT(ADDRESS(13,3,,,_2!F$14)),0)</f>
        <v>0</v>
      </c>
      <c r="I22" s="9" t="e">
        <f ca="1">_2!H$16*J22+_2!I$16*K22</f>
        <v>#REF!</v>
      </c>
      <c r="J22" s="10" t="e">
        <f ca="1">IF(_2!H$16&gt;0,INDIRECT(ADDRESS(13,3,,,_2!H$14)),0)</f>
        <v>#REF!</v>
      </c>
      <c r="K22" s="230">
        <f ca="1">IF(_2!I$16&gt;0,INDIRECT(ADDRESS(13,3,,,_2!I$14)),0)</f>
        <v>0</v>
      </c>
      <c r="O22" s="24" t="e">
        <f t="shared" ca="1" si="0"/>
        <v>#REF!</v>
      </c>
      <c r="P22" s="23"/>
      <c r="Q22" s="23"/>
    </row>
    <row r="23" spans="1:17" ht="15.4" x14ac:dyDescent="0.4">
      <c r="A23" s="58" t="s">
        <v>26</v>
      </c>
      <c r="B23" s="168" t="s">
        <v>192</v>
      </c>
      <c r="C23" s="52" t="s">
        <v>145</v>
      </c>
      <c r="D23" s="19">
        <v>18</v>
      </c>
      <c r="E23" s="3" t="e">
        <f t="shared" ca="1" si="1"/>
        <v>#REF!</v>
      </c>
      <c r="F23" s="20" t="e">
        <f ca="1">_2!E$16*G23+_2!F$16*H23</f>
        <v>#REF!</v>
      </c>
      <c r="G23" s="10" t="e">
        <f ca="1">IF(_2!E$16&gt;0,INDIRECT(ADDRESS(14,3,,,_2!E$14)),0)</f>
        <v>#REF!</v>
      </c>
      <c r="H23" s="10">
        <f ca="1">IF(_2!F$16&gt;0,INDIRECT(ADDRESS(14,3,,,_2!F$14)),0)</f>
        <v>0</v>
      </c>
      <c r="I23" s="9" t="e">
        <f ca="1">_2!H$16*J23+_2!I$16*K23</f>
        <v>#REF!</v>
      </c>
      <c r="J23" s="10" t="e">
        <f ca="1">IF(_2!H$16&gt;0,INDIRECT(ADDRESS(14,3,,,_2!H$14)),0)</f>
        <v>#REF!</v>
      </c>
      <c r="K23" s="230">
        <f ca="1">IF(_2!I$16&gt;0,INDIRECT(ADDRESS(14,3,,,_2!I$14)),0)</f>
        <v>0</v>
      </c>
      <c r="O23" s="24" t="e">
        <f t="shared" ca="1" si="0"/>
        <v>#REF!</v>
      </c>
      <c r="P23" s="23"/>
      <c r="Q23" s="23"/>
    </row>
    <row r="24" spans="1:17" ht="15.4" x14ac:dyDescent="0.4">
      <c r="A24" s="58" t="s">
        <v>26</v>
      </c>
      <c r="B24" s="168" t="s">
        <v>192</v>
      </c>
      <c r="C24" s="52" t="s">
        <v>145</v>
      </c>
      <c r="D24" s="19">
        <v>20</v>
      </c>
      <c r="E24" s="3" t="e">
        <f t="shared" ca="1" si="1"/>
        <v>#REF!</v>
      </c>
      <c r="F24" s="20" t="e">
        <f ca="1">_2!E$16*G24+_2!F$16*H24</f>
        <v>#REF!</v>
      </c>
      <c r="G24" s="10" t="e">
        <f ca="1">IF(_2!E$16&gt;0,INDIRECT(ADDRESS(15,3,,,_2!E$14)),0)</f>
        <v>#REF!</v>
      </c>
      <c r="H24" s="10">
        <f ca="1">IF(_2!F$16&gt;0,INDIRECT(ADDRESS(15,3,,,_2!F$14)),0)</f>
        <v>0</v>
      </c>
      <c r="I24" s="9" t="e">
        <f ca="1">_2!H$16*J24+_2!I$16*K24</f>
        <v>#REF!</v>
      </c>
      <c r="J24" s="10" t="e">
        <f ca="1">IF(_2!H$16&gt;0,INDIRECT(ADDRESS(15,3,,,_2!H$14)),0)</f>
        <v>#REF!</v>
      </c>
      <c r="K24" s="230">
        <f ca="1">IF(_2!I$16&gt;0,INDIRECT(ADDRESS(15,3,,,_2!I$14)),0)</f>
        <v>0</v>
      </c>
      <c r="O24" s="24" t="e">
        <f t="shared" ca="1" si="0"/>
        <v>#REF!</v>
      </c>
      <c r="P24" s="23"/>
      <c r="Q24" s="23"/>
    </row>
    <row r="25" spans="1:17" ht="15.4" x14ac:dyDescent="0.4">
      <c r="A25" s="58" t="s">
        <v>26</v>
      </c>
      <c r="B25" s="168" t="s">
        <v>192</v>
      </c>
      <c r="C25" s="52" t="s">
        <v>145</v>
      </c>
      <c r="D25" s="19">
        <v>22</v>
      </c>
      <c r="E25" s="3" t="e">
        <f t="shared" ca="1" si="1"/>
        <v>#REF!</v>
      </c>
      <c r="F25" s="20" t="e">
        <f ca="1">_2!E$16*G25+_2!F$16*H25</f>
        <v>#REF!</v>
      </c>
      <c r="G25" s="10" t="e">
        <f ca="1">IF(_2!E$16&gt;0,INDIRECT(ADDRESS(16,3,,,_2!E$14)),0)</f>
        <v>#REF!</v>
      </c>
      <c r="H25" s="10">
        <f ca="1">IF(_2!F$16&gt;0,INDIRECT(ADDRESS(16,3,,,_2!F$14)),0)</f>
        <v>0</v>
      </c>
      <c r="I25" s="9" t="e">
        <f ca="1">_2!H$16*J25+_2!I$16*K25</f>
        <v>#REF!</v>
      </c>
      <c r="J25" s="10" t="e">
        <f ca="1">IF(_2!H$16&gt;0,INDIRECT(ADDRESS(16,3,,,_2!H$14)),0)</f>
        <v>#REF!</v>
      </c>
      <c r="K25" s="230">
        <f ca="1">IF(_2!I$16&gt;0,INDIRECT(ADDRESS(16,3,,,_2!I$14)),0)</f>
        <v>0</v>
      </c>
      <c r="O25" s="24" t="e">
        <f t="shared" ca="1" si="0"/>
        <v>#REF!</v>
      </c>
      <c r="P25" s="23"/>
      <c r="Q25" s="23"/>
    </row>
    <row r="26" spans="1:17" ht="15.4" x14ac:dyDescent="0.4">
      <c r="A26" s="58" t="s">
        <v>26</v>
      </c>
      <c r="B26" s="168" t="s">
        <v>192</v>
      </c>
      <c r="C26" s="52" t="s">
        <v>145</v>
      </c>
      <c r="D26" s="19">
        <v>25</v>
      </c>
      <c r="E26" s="3" t="e">
        <f t="shared" ca="1" si="1"/>
        <v>#REF!</v>
      </c>
      <c r="F26" s="20" t="e">
        <f ca="1">_2!E$16*G26+_2!F$16*H26</f>
        <v>#REF!</v>
      </c>
      <c r="G26" s="10" t="e">
        <f ca="1">IF(_2!E$16&gt;0,INDIRECT(ADDRESS(17,3,,,_2!E$14)),0)</f>
        <v>#REF!</v>
      </c>
      <c r="H26" s="10">
        <f ca="1">IF(_2!F$16&gt;0,INDIRECT(ADDRESS(17,3,,,_2!F$14)),0)</f>
        <v>0</v>
      </c>
      <c r="I26" s="9" t="e">
        <f ca="1">_2!H$16*J26+_2!I$16*K26</f>
        <v>#REF!</v>
      </c>
      <c r="J26" s="10" t="e">
        <f ca="1">IF(_2!H$16&gt;0,INDIRECT(ADDRESS(17,3,,,_2!H$14)),0)</f>
        <v>#REF!</v>
      </c>
      <c r="K26" s="230">
        <f ca="1">IF(_2!I$16&gt;0,INDIRECT(ADDRESS(17,3,,,_2!I$14)),0)</f>
        <v>0</v>
      </c>
      <c r="O26" s="24" t="e">
        <f t="shared" ca="1" si="0"/>
        <v>#REF!</v>
      </c>
      <c r="P26" s="23"/>
      <c r="Q26" s="23"/>
    </row>
    <row r="27" spans="1:17" ht="15.4" x14ac:dyDescent="0.4">
      <c r="A27" s="58" t="s">
        <v>26</v>
      </c>
      <c r="B27" s="168" t="s">
        <v>192</v>
      </c>
      <c r="C27" s="52" t="s">
        <v>145</v>
      </c>
      <c r="D27" s="19">
        <v>28</v>
      </c>
      <c r="E27" s="3" t="e">
        <f t="shared" ca="1" si="1"/>
        <v>#REF!</v>
      </c>
      <c r="F27" s="20" t="e">
        <f ca="1">_2!E$16*G27+_2!F$16*H27</f>
        <v>#REF!</v>
      </c>
      <c r="G27" s="10" t="e">
        <f ca="1">IF(_2!E$16&gt;0,INDIRECT(ADDRESS(18,3,,,_2!E$14)),0)</f>
        <v>#REF!</v>
      </c>
      <c r="H27" s="10">
        <f ca="1">IF(_2!F$16&gt;0,INDIRECT(ADDRESS(18,3,,,_2!F$14)),0)</f>
        <v>0</v>
      </c>
      <c r="I27" s="9" t="e">
        <f ca="1">_2!H$16*J27+_2!I$16*K27</f>
        <v>#REF!</v>
      </c>
      <c r="J27" s="10" t="e">
        <f ca="1">IF(_2!H$16&gt;0,INDIRECT(ADDRESS(18,3,,,_2!H$14)),0)</f>
        <v>#REF!</v>
      </c>
      <c r="K27" s="230">
        <f ca="1">IF(_2!I$16&gt;0,INDIRECT(ADDRESS(18,3,,,_2!I$14)),0)</f>
        <v>0</v>
      </c>
      <c r="O27" s="24" t="e">
        <f t="shared" ca="1" si="0"/>
        <v>#REF!</v>
      </c>
      <c r="P27" s="23"/>
      <c r="Q27" s="23"/>
    </row>
    <row r="28" spans="1:17" ht="15.4" x14ac:dyDescent="0.4">
      <c r="A28" s="58" t="s">
        <v>26</v>
      </c>
      <c r="B28" s="168" t="s">
        <v>192</v>
      </c>
      <c r="C28" s="52" t="s">
        <v>145</v>
      </c>
      <c r="D28" s="19">
        <v>32</v>
      </c>
      <c r="E28" s="3" t="e">
        <f t="shared" ca="1" si="1"/>
        <v>#REF!</v>
      </c>
      <c r="F28" s="20" t="e">
        <f ca="1">_2!E$16*G28+_2!F$16*H28</f>
        <v>#REF!</v>
      </c>
      <c r="G28" s="10" t="e">
        <f ca="1">IF(_2!E$16&gt;0,INDIRECT(ADDRESS(19,3,,,_2!E$14)),0)</f>
        <v>#REF!</v>
      </c>
      <c r="H28" s="10">
        <f ca="1">IF(_2!F$16&gt;0,INDIRECT(ADDRESS(19,3,,,_2!F$14)),0)</f>
        <v>0</v>
      </c>
      <c r="I28" s="9" t="e">
        <f ca="1">_2!H$16*J28+_2!I$16*K28</f>
        <v>#REF!</v>
      </c>
      <c r="J28" s="10" t="e">
        <f ca="1">IF(_2!H$16&gt;0,INDIRECT(ADDRESS(19,3,,,_2!H$14)),0)</f>
        <v>#REF!</v>
      </c>
      <c r="K28" s="230">
        <f ca="1">IF(_2!I$16&gt;0,INDIRECT(ADDRESS(19,3,,,_2!I$14)),0)</f>
        <v>0</v>
      </c>
      <c r="O28" s="24" t="e">
        <f t="shared" ca="1" si="0"/>
        <v>#REF!</v>
      </c>
      <c r="P28" s="23"/>
      <c r="Q28" s="23"/>
    </row>
    <row r="29" spans="1:17" ht="15.4" x14ac:dyDescent="0.4">
      <c r="A29" s="58" t="s">
        <v>26</v>
      </c>
      <c r="B29" s="168" t="s">
        <v>192</v>
      </c>
      <c r="C29" s="52" t="s">
        <v>145</v>
      </c>
      <c r="D29" s="19">
        <v>36</v>
      </c>
      <c r="E29" s="3" t="e">
        <f t="shared" ca="1" si="1"/>
        <v>#REF!</v>
      </c>
      <c r="F29" s="20" t="e">
        <f ca="1">_2!E$16*G29+_2!F$16*H29</f>
        <v>#REF!</v>
      </c>
      <c r="G29" s="10" t="e">
        <f ca="1">IF(_2!E$16&gt;0,INDIRECT(ADDRESS(20,3,,,_2!E$14)),0)</f>
        <v>#REF!</v>
      </c>
      <c r="H29" s="10">
        <f ca="1">IF(_2!F$16&gt;0,INDIRECT(ADDRESS(20,3,,,_2!F$14)),0)</f>
        <v>0</v>
      </c>
      <c r="I29" s="9" t="e">
        <f ca="1">_2!H$16*J29+_2!I$16*K29</f>
        <v>#REF!</v>
      </c>
      <c r="J29" s="10" t="e">
        <f ca="1">IF(_2!H$16&gt;0,INDIRECT(ADDRESS(20,3,,,_2!H$14)),0)</f>
        <v>#REF!</v>
      </c>
      <c r="K29" s="230">
        <f ca="1">IF(_2!I$16&gt;0,INDIRECT(ADDRESS(20,3,,,_2!I$14)),0)</f>
        <v>0</v>
      </c>
      <c r="O29" s="24" t="e">
        <f t="shared" ca="1" si="0"/>
        <v>#REF!</v>
      </c>
      <c r="P29" s="23"/>
      <c r="Q29" s="23"/>
    </row>
    <row r="30" spans="1:17" ht="15.4" x14ac:dyDescent="0.4">
      <c r="A30" s="58" t="s">
        <v>26</v>
      </c>
      <c r="B30" s="168" t="s">
        <v>192</v>
      </c>
      <c r="C30" s="52" t="s">
        <v>145</v>
      </c>
      <c r="D30" s="19">
        <v>40</v>
      </c>
      <c r="E30" s="3" t="e">
        <f t="shared" ca="1" si="1"/>
        <v>#REF!</v>
      </c>
      <c r="F30" s="20" t="e">
        <f ca="1">_2!E$16*G30+_2!F$16*H30</f>
        <v>#REF!</v>
      </c>
      <c r="G30" s="10" t="e">
        <f ca="1">IF(_2!E$16&gt;0,INDIRECT(ADDRESS(21,3,,,_2!E$14)),0)</f>
        <v>#REF!</v>
      </c>
      <c r="H30" s="10">
        <f ca="1">IF(_2!F$16&gt;0,INDIRECT(ADDRESS(21,3,,,_2!F$14)),0)</f>
        <v>0</v>
      </c>
      <c r="I30" s="9" t="e">
        <f ca="1">_2!H$16*J30+_2!I$16*K30</f>
        <v>#REF!</v>
      </c>
      <c r="J30" s="10" t="e">
        <f ca="1">IF(_2!H$16&gt;0,INDIRECT(ADDRESS(21,3,,,_2!H$14)),0)</f>
        <v>#REF!</v>
      </c>
      <c r="K30" s="230">
        <f ca="1">IF(_2!I$16&gt;0,INDIRECT(ADDRESS(21,3,,,_2!I$14)),0)</f>
        <v>0</v>
      </c>
      <c r="O30" s="24" t="e">
        <f t="shared" ca="1" si="0"/>
        <v>#REF!</v>
      </c>
      <c r="P30" s="23"/>
      <c r="Q30" s="23"/>
    </row>
    <row r="31" spans="1:17" ht="15.4" x14ac:dyDescent="0.4">
      <c r="A31" s="58" t="s">
        <v>26</v>
      </c>
      <c r="B31" s="170" t="s">
        <v>193</v>
      </c>
      <c r="C31" s="52" t="s">
        <v>145</v>
      </c>
      <c r="D31" s="19">
        <v>6</v>
      </c>
      <c r="E31" s="3" t="e">
        <f t="shared" ca="1" si="1"/>
        <v>#REF!</v>
      </c>
      <c r="F31" s="20" t="e">
        <f ca="1">_2!E$16*G31+_2!F$16*H31</f>
        <v>#REF!</v>
      </c>
      <c r="G31" s="10" t="e">
        <f ca="1">IF(_2!E$16&gt;0,INDIRECT(ADDRESS(8,2,,,_2!E$14)),0)</f>
        <v>#REF!</v>
      </c>
      <c r="H31" s="10">
        <f ca="1">IF(_2!F$16&gt;0,INDIRECT(ADDRESS(8,2,,,_2!F$14)),0)</f>
        <v>0</v>
      </c>
      <c r="I31" s="9" t="e">
        <f ca="1">_2!H$16*J31+_2!I$16*K31</f>
        <v>#REF!</v>
      </c>
      <c r="J31" s="10" t="e">
        <f ca="1">IF(_2!H$16&gt;0,INDIRECT(ADDRESS(8,2,,,_2!H$14)),0)</f>
        <v>#REF!</v>
      </c>
      <c r="K31" s="230">
        <f ca="1">IF(_2!I$16&gt;0,INDIRECT(ADDRESS(8,2,,,_2!I$14)),0)</f>
        <v>0</v>
      </c>
      <c r="O31" s="24" t="e">
        <f t="shared" ca="1" si="0"/>
        <v>#REF!</v>
      </c>
      <c r="P31" s="23"/>
      <c r="Q31" s="23"/>
    </row>
    <row r="32" spans="1:17" ht="15.4" x14ac:dyDescent="0.4">
      <c r="A32" s="58" t="s">
        <v>26</v>
      </c>
      <c r="B32" s="170" t="s">
        <v>193</v>
      </c>
      <c r="C32" s="52" t="s">
        <v>145</v>
      </c>
      <c r="D32" s="19">
        <v>8</v>
      </c>
      <c r="E32" s="3" t="e">
        <f t="shared" ca="1" si="1"/>
        <v>#REF!</v>
      </c>
      <c r="F32" s="20" t="e">
        <f ca="1">_2!E$16*G32+_2!F$16*H32</f>
        <v>#REF!</v>
      </c>
      <c r="G32" s="10" t="e">
        <f ca="1">IF(_2!E$16&gt;0,INDIRECT(ADDRESS(9,2,,,_2!E$14)),0)</f>
        <v>#REF!</v>
      </c>
      <c r="H32" s="10">
        <f ca="1">IF(_2!F$16&gt;0,INDIRECT(ADDRESS(9,2,,,_2!F$14)),0)</f>
        <v>0</v>
      </c>
      <c r="I32" s="9" t="e">
        <f ca="1">_2!H$16*J32+_2!I$16*K32</f>
        <v>#REF!</v>
      </c>
      <c r="J32" s="10" t="e">
        <f ca="1">IF(_2!H$16&gt;0,INDIRECT(ADDRESS(9,2,,,_2!H$14)),0)</f>
        <v>#REF!</v>
      </c>
      <c r="K32" s="230">
        <f ca="1">IF(_2!I$16&gt;0,INDIRECT(ADDRESS(9,2,,,_2!I$14)),0)</f>
        <v>0</v>
      </c>
      <c r="O32" s="24" t="e">
        <f t="shared" ca="1" si="0"/>
        <v>#REF!</v>
      </c>
      <c r="P32" s="23"/>
      <c r="Q32" s="23"/>
    </row>
    <row r="33" spans="1:17" ht="15.4" x14ac:dyDescent="0.4">
      <c r="A33" s="58" t="s">
        <v>26</v>
      </c>
      <c r="B33" s="170" t="s">
        <v>193</v>
      </c>
      <c r="C33" s="52" t="s">
        <v>145</v>
      </c>
      <c r="D33" s="19">
        <v>10</v>
      </c>
      <c r="E33" s="3" t="e">
        <f t="shared" ca="1" si="1"/>
        <v>#REF!</v>
      </c>
      <c r="F33" s="20" t="e">
        <f ca="1">_2!E$16*G33+_2!F$16*H33</f>
        <v>#REF!</v>
      </c>
      <c r="G33" s="10" t="e">
        <f ca="1">IF(_2!E$16&gt;0,INDIRECT(ADDRESS(10,2,,,_2!E$14)),0)</f>
        <v>#REF!</v>
      </c>
      <c r="H33" s="10">
        <f ca="1">IF(_2!F$16&gt;0,INDIRECT(ADDRESS(10,2,,,_2!F$14)),0)</f>
        <v>0</v>
      </c>
      <c r="I33" s="9" t="e">
        <f ca="1">_2!H$16*J33+_2!I$16*K33</f>
        <v>#REF!</v>
      </c>
      <c r="J33" s="10" t="e">
        <f ca="1">IF(_2!H$16&gt;0,INDIRECT(ADDRESS(10,2,,,_2!H$14)),0)</f>
        <v>#REF!</v>
      </c>
      <c r="K33" s="230">
        <f ca="1">IF(_2!I$16&gt;0,INDIRECT(ADDRESS(10,2,,,_2!I$14)),0)</f>
        <v>0</v>
      </c>
      <c r="O33" s="24" t="e">
        <f t="shared" ca="1" si="0"/>
        <v>#REF!</v>
      </c>
      <c r="P33" s="23"/>
      <c r="Q33" s="23"/>
    </row>
    <row r="34" spans="1:17" ht="15.4" x14ac:dyDescent="0.4">
      <c r="A34" s="58" t="s">
        <v>26</v>
      </c>
      <c r="B34" s="170" t="s">
        <v>193</v>
      </c>
      <c r="C34" s="52" t="s">
        <v>145</v>
      </c>
      <c r="D34" s="19">
        <v>12</v>
      </c>
      <c r="E34" s="3" t="e">
        <f t="shared" ca="1" si="1"/>
        <v>#REF!</v>
      </c>
      <c r="F34" s="20" t="e">
        <f ca="1">_2!E$16*G34+_2!F$16*H34</f>
        <v>#REF!</v>
      </c>
      <c r="G34" s="10" t="e">
        <f ca="1">IF(_2!E$16&gt;0,INDIRECT(ADDRESS(11,2,,,_2!E$14)),0)</f>
        <v>#REF!</v>
      </c>
      <c r="H34" s="10">
        <f ca="1">IF(_2!F$16&gt;0,INDIRECT(ADDRESS(11,2,,,_2!F$14)),0)</f>
        <v>0</v>
      </c>
      <c r="I34" s="9" t="e">
        <f ca="1">_2!H$16*J34+_2!I$16*K34</f>
        <v>#REF!</v>
      </c>
      <c r="J34" s="10" t="e">
        <f ca="1">IF(_2!H$16&gt;0,INDIRECT(ADDRESS(11,2,,,_2!H$14)),0)</f>
        <v>#REF!</v>
      </c>
      <c r="K34" s="230">
        <f ca="1">IF(_2!I$16&gt;0,INDIRECT(ADDRESS(11,2,,,_2!I$14)),0)</f>
        <v>0</v>
      </c>
      <c r="O34" s="24" t="e">
        <f t="shared" ca="1" si="0"/>
        <v>#REF!</v>
      </c>
      <c r="P34" s="23"/>
      <c r="Q34" s="23"/>
    </row>
    <row r="35" spans="1:17" ht="15.4" x14ac:dyDescent="0.4">
      <c r="A35" s="58" t="s">
        <v>26</v>
      </c>
      <c r="B35" s="170" t="s">
        <v>193</v>
      </c>
      <c r="C35" s="52" t="s">
        <v>145</v>
      </c>
      <c r="D35" s="19">
        <v>14</v>
      </c>
      <c r="E35" s="3" t="e">
        <f t="shared" ca="1" si="1"/>
        <v>#REF!</v>
      </c>
      <c r="F35" s="20" t="e">
        <f ca="1">_2!E$16*G35+_2!F$16*H35</f>
        <v>#REF!</v>
      </c>
      <c r="G35" s="10" t="e">
        <f ca="1">IF(_2!E$16&gt;0,INDIRECT(ADDRESS(12,2,,,_2!E$14)),0)</f>
        <v>#REF!</v>
      </c>
      <c r="H35" s="10">
        <f ca="1">IF(_2!F$16&gt;0,INDIRECT(ADDRESS(12,2,,,_2!F$14)),0)</f>
        <v>0</v>
      </c>
      <c r="I35" s="9" t="e">
        <f ca="1">_2!H$16*J35+_2!I$16*K35</f>
        <v>#REF!</v>
      </c>
      <c r="J35" s="10" t="e">
        <f ca="1">IF(_2!H$16&gt;0,INDIRECT(ADDRESS(12,2,,,_2!H$14)),0)</f>
        <v>#REF!</v>
      </c>
      <c r="K35" s="230">
        <f ca="1">IF(_2!I$16&gt;0,INDIRECT(ADDRESS(12,2,,,_2!I$14)),0)</f>
        <v>0</v>
      </c>
      <c r="O35" s="24" t="e">
        <f t="shared" ca="1" si="0"/>
        <v>#REF!</v>
      </c>
      <c r="P35" s="23"/>
      <c r="Q35" s="23"/>
    </row>
    <row r="36" spans="1:17" ht="15.4" x14ac:dyDescent="0.4">
      <c r="A36" s="58" t="s">
        <v>26</v>
      </c>
      <c r="B36" s="170" t="s">
        <v>193</v>
      </c>
      <c r="C36" s="52" t="s">
        <v>145</v>
      </c>
      <c r="D36" s="19">
        <v>16</v>
      </c>
      <c r="E36" s="3" t="e">
        <f t="shared" ca="1" si="1"/>
        <v>#REF!</v>
      </c>
      <c r="F36" s="20" t="e">
        <f ca="1">_2!E$16*G36+_2!F$16*H36</f>
        <v>#REF!</v>
      </c>
      <c r="G36" s="10" t="e">
        <f ca="1">IF(_2!E$16&gt;0,INDIRECT(ADDRESS(13,2,,,_2!E$14)),0)</f>
        <v>#REF!</v>
      </c>
      <c r="H36" s="10">
        <f ca="1">IF(_2!F$16&gt;0,INDIRECT(ADDRESS(13,2,,,_2!F$14)),0)</f>
        <v>0</v>
      </c>
      <c r="I36" s="9" t="e">
        <f ca="1">_2!H$16*J36+_2!I$16*K36</f>
        <v>#REF!</v>
      </c>
      <c r="J36" s="10" t="e">
        <f ca="1">IF(_2!H$16&gt;0,INDIRECT(ADDRESS(13,2,,,_2!H$14)),0)</f>
        <v>#REF!</v>
      </c>
      <c r="K36" s="230">
        <f ca="1">IF(_2!I$16&gt;0,INDIRECT(ADDRESS(13,2,,,_2!I$14)),0)</f>
        <v>0</v>
      </c>
      <c r="O36" s="24" t="e">
        <f t="shared" ca="1" si="0"/>
        <v>#REF!</v>
      </c>
      <c r="P36" s="23"/>
      <c r="Q36" s="23"/>
    </row>
    <row r="37" spans="1:17" ht="15.4" x14ac:dyDescent="0.4">
      <c r="A37" s="58" t="s">
        <v>26</v>
      </c>
      <c r="B37" s="170" t="s">
        <v>193</v>
      </c>
      <c r="C37" s="52" t="s">
        <v>145</v>
      </c>
      <c r="D37" s="19">
        <v>18</v>
      </c>
      <c r="E37" s="3" t="e">
        <f t="shared" ca="1" si="1"/>
        <v>#REF!</v>
      </c>
      <c r="F37" s="20" t="e">
        <f ca="1">_2!E$16*G37+_2!F$16*H37</f>
        <v>#REF!</v>
      </c>
      <c r="G37" s="10" t="e">
        <f ca="1">IF(_2!E$16&gt;0,INDIRECT(ADDRESS(14,2,,,_2!E$14)),0)</f>
        <v>#REF!</v>
      </c>
      <c r="H37" s="10">
        <f ca="1">IF(_2!F$16&gt;0,INDIRECT(ADDRESS(14,2,,,_2!F$14)),0)</f>
        <v>0</v>
      </c>
      <c r="I37" s="9" t="e">
        <f ca="1">_2!H$16*J37+_2!I$16*K37</f>
        <v>#REF!</v>
      </c>
      <c r="J37" s="10" t="e">
        <f ca="1">IF(_2!H$16&gt;0,INDIRECT(ADDRESS(14,2,,,_2!H$14)),0)</f>
        <v>#REF!</v>
      </c>
      <c r="K37" s="230">
        <f ca="1">IF(_2!I$16&gt;0,INDIRECT(ADDRESS(14,2,,,_2!I$14)),0)</f>
        <v>0</v>
      </c>
      <c r="O37" s="24" t="e">
        <f t="shared" ca="1" si="0"/>
        <v>#REF!</v>
      </c>
      <c r="P37" s="23"/>
      <c r="Q37" s="23"/>
    </row>
    <row r="38" spans="1:17" ht="15.4" x14ac:dyDescent="0.4">
      <c r="A38" s="58" t="s">
        <v>26</v>
      </c>
      <c r="B38" s="170" t="s">
        <v>193</v>
      </c>
      <c r="C38" s="52" t="s">
        <v>145</v>
      </c>
      <c r="D38" s="19">
        <v>20</v>
      </c>
      <c r="E38" s="3" t="e">
        <f t="shared" ca="1" si="1"/>
        <v>#REF!</v>
      </c>
      <c r="F38" s="20" t="e">
        <f ca="1">_2!E$16*G38+_2!F$16*H38</f>
        <v>#REF!</v>
      </c>
      <c r="G38" s="10" t="e">
        <f ca="1">IF(_2!E$16&gt;0,INDIRECT(ADDRESS(15,2,,,_2!E$14)),0)</f>
        <v>#REF!</v>
      </c>
      <c r="H38" s="10">
        <f ca="1">IF(_2!F$16&gt;0,INDIRECT(ADDRESS(15,2,,,_2!F$14)),0)</f>
        <v>0</v>
      </c>
      <c r="I38" s="9" t="e">
        <f ca="1">_2!H$16*J38+_2!I$16*K38</f>
        <v>#REF!</v>
      </c>
      <c r="J38" s="10" t="e">
        <f ca="1">IF(_2!H$16&gt;0,INDIRECT(ADDRESS(15,2,,,_2!H$14)),0)</f>
        <v>#REF!</v>
      </c>
      <c r="K38" s="230">
        <f ca="1">IF(_2!I$16&gt;0,INDIRECT(ADDRESS(15,2,,,_2!I$14)),0)</f>
        <v>0</v>
      </c>
      <c r="O38" s="24" t="e">
        <f t="shared" ca="1" si="0"/>
        <v>#REF!</v>
      </c>
      <c r="P38" s="23"/>
      <c r="Q38" s="23"/>
    </row>
    <row r="39" spans="1:17" ht="15.4" x14ac:dyDescent="0.4">
      <c r="A39" s="58" t="s">
        <v>26</v>
      </c>
      <c r="B39" s="170" t="s">
        <v>193</v>
      </c>
      <c r="C39" s="52" t="s">
        <v>145</v>
      </c>
      <c r="D39" s="19">
        <v>22</v>
      </c>
      <c r="E39" s="3" t="e">
        <f t="shared" ca="1" si="1"/>
        <v>#REF!</v>
      </c>
      <c r="F39" s="20" t="e">
        <f ca="1">_2!E$16*G39+_2!F$16*H39</f>
        <v>#REF!</v>
      </c>
      <c r="G39" s="10" t="e">
        <f ca="1">IF(_2!E$16&gt;0,INDIRECT(ADDRESS(16,2,,,_2!E$14)),0)</f>
        <v>#REF!</v>
      </c>
      <c r="H39" s="10">
        <f ca="1">IF(_2!F$16&gt;0,INDIRECT(ADDRESS(16,2,,,_2!F$14)),0)</f>
        <v>0</v>
      </c>
      <c r="I39" s="9" t="e">
        <f ca="1">_2!H$16*J39+_2!I$16*K39</f>
        <v>#REF!</v>
      </c>
      <c r="J39" s="10" t="e">
        <f ca="1">IF(_2!H$16&gt;0,INDIRECT(ADDRESS(16,2,,,_2!H$14)),0)</f>
        <v>#REF!</v>
      </c>
      <c r="K39" s="230">
        <f ca="1">IF(_2!I$16&gt;0,INDIRECT(ADDRESS(16,2,,,_2!I$14)),0)</f>
        <v>0</v>
      </c>
      <c r="O39" s="24" t="e">
        <f t="shared" ca="1" si="0"/>
        <v>#REF!</v>
      </c>
      <c r="P39" s="23"/>
      <c r="Q39" s="23"/>
    </row>
    <row r="40" spans="1:17" ht="15.4" x14ac:dyDescent="0.4">
      <c r="A40" s="58" t="s">
        <v>26</v>
      </c>
      <c r="B40" s="170" t="s">
        <v>193</v>
      </c>
      <c r="C40" s="52" t="s">
        <v>145</v>
      </c>
      <c r="D40" s="19">
        <v>25</v>
      </c>
      <c r="E40" s="3" t="e">
        <f t="shared" ca="1" si="1"/>
        <v>#REF!</v>
      </c>
      <c r="F40" s="20" t="e">
        <f ca="1">_2!E$16*G40+_2!F$16*H40</f>
        <v>#REF!</v>
      </c>
      <c r="G40" s="10" t="e">
        <f ca="1">IF(_2!E$16&gt;0,INDIRECT(ADDRESS(17,2,,,_2!E$14)),0)</f>
        <v>#REF!</v>
      </c>
      <c r="H40" s="10">
        <f ca="1">IF(_2!F$16&gt;0,INDIRECT(ADDRESS(17,2,,,_2!F$14)),0)</f>
        <v>0</v>
      </c>
      <c r="I40" s="9" t="e">
        <f ca="1">_2!H$16*J40+_2!I$16*K40</f>
        <v>#REF!</v>
      </c>
      <c r="J40" s="10" t="e">
        <f ca="1">IF(_2!H$16&gt;0,INDIRECT(ADDRESS(17,2,,,_2!H$14)),0)</f>
        <v>#REF!</v>
      </c>
      <c r="K40" s="230">
        <f ca="1">IF(_2!I$16&gt;0,INDIRECT(ADDRESS(17,2,,,_2!I$14)),0)</f>
        <v>0</v>
      </c>
      <c r="O40" s="24" t="e">
        <f t="shared" ca="1" si="0"/>
        <v>#REF!</v>
      </c>
      <c r="P40" s="23"/>
      <c r="Q40" s="23"/>
    </row>
    <row r="41" spans="1:17" ht="15.4" x14ac:dyDescent="0.4">
      <c r="A41" s="58" t="s">
        <v>26</v>
      </c>
      <c r="B41" s="170" t="s">
        <v>193</v>
      </c>
      <c r="C41" s="52" t="s">
        <v>145</v>
      </c>
      <c r="D41" s="19">
        <v>28</v>
      </c>
      <c r="E41" s="3" t="e">
        <f t="shared" ca="1" si="1"/>
        <v>#REF!</v>
      </c>
      <c r="F41" s="20" t="e">
        <f ca="1">_2!E$16*G41+_2!F$16*H41</f>
        <v>#REF!</v>
      </c>
      <c r="G41" s="10" t="e">
        <f ca="1">IF(_2!E$16&gt;0,INDIRECT(ADDRESS(18,2,,,_2!E$14)),0)</f>
        <v>#REF!</v>
      </c>
      <c r="H41" s="10">
        <f ca="1">IF(_2!F$16&gt;0,INDIRECT(ADDRESS(18,2,,,_2!F$14)),0)</f>
        <v>0</v>
      </c>
      <c r="I41" s="9" t="e">
        <f ca="1">_2!H$16*J41+_2!I$16*K41</f>
        <v>#REF!</v>
      </c>
      <c r="J41" s="10" t="e">
        <f ca="1">IF(_2!H$16&gt;0,INDIRECT(ADDRESS(18,2,,,_2!H$14)),0)</f>
        <v>#REF!</v>
      </c>
      <c r="K41" s="230">
        <f ca="1">IF(_2!I$16&gt;0,INDIRECT(ADDRESS(18,2,,,_2!I$14)),0)</f>
        <v>0</v>
      </c>
      <c r="O41" s="24" t="e">
        <f t="shared" ca="1" si="0"/>
        <v>#REF!</v>
      </c>
      <c r="P41" s="23"/>
      <c r="Q41" s="23"/>
    </row>
    <row r="42" spans="1:17" ht="15.4" x14ac:dyDescent="0.4">
      <c r="A42" s="58" t="s">
        <v>26</v>
      </c>
      <c r="B42" s="170" t="s">
        <v>193</v>
      </c>
      <c r="C42" s="52" t="s">
        <v>145</v>
      </c>
      <c r="D42" s="19">
        <v>32</v>
      </c>
      <c r="E42" s="3" t="e">
        <f t="shared" ca="1" si="1"/>
        <v>#REF!</v>
      </c>
      <c r="F42" s="20" t="e">
        <f ca="1">_2!E$16*G42+_2!F$16*H42</f>
        <v>#REF!</v>
      </c>
      <c r="G42" s="10" t="e">
        <f ca="1">IF(_2!E$16&gt;0,INDIRECT(ADDRESS(19,2,,,_2!E$14)),0)</f>
        <v>#REF!</v>
      </c>
      <c r="H42" s="10">
        <f ca="1">IF(_2!F$16&gt;0,INDIRECT(ADDRESS(19,2,,,_2!F$14)),0)</f>
        <v>0</v>
      </c>
      <c r="I42" s="9" t="e">
        <f ca="1">_2!H$16*J42+_2!I$16*K42</f>
        <v>#REF!</v>
      </c>
      <c r="J42" s="10" t="e">
        <f ca="1">IF(_2!H$16&gt;0,INDIRECT(ADDRESS(19,2,,,_2!H$14)),0)</f>
        <v>#REF!</v>
      </c>
      <c r="K42" s="230">
        <f ca="1">IF(_2!I$16&gt;0,INDIRECT(ADDRESS(19,2,,,_2!I$14)),0)</f>
        <v>0</v>
      </c>
      <c r="O42" s="24" t="e">
        <f t="shared" ca="1" si="0"/>
        <v>#REF!</v>
      </c>
      <c r="P42" s="23"/>
      <c r="Q42" s="23"/>
    </row>
    <row r="43" spans="1:17" ht="15.4" x14ac:dyDescent="0.4">
      <c r="A43" s="58" t="s">
        <v>26</v>
      </c>
      <c r="B43" s="170" t="s">
        <v>193</v>
      </c>
      <c r="C43" s="52" t="s">
        <v>145</v>
      </c>
      <c r="D43" s="19">
        <v>36</v>
      </c>
      <c r="E43" s="3" t="e">
        <f t="shared" ca="1" si="1"/>
        <v>#REF!</v>
      </c>
      <c r="F43" s="20" t="e">
        <f ca="1">_2!E$16*G43+_2!F$16*H43</f>
        <v>#REF!</v>
      </c>
      <c r="G43" s="10" t="e">
        <f ca="1">IF(_2!E$16&gt;0,INDIRECT(ADDRESS(20,2,,,_2!E$14)),0)</f>
        <v>#REF!</v>
      </c>
      <c r="H43" s="10">
        <f ca="1">IF(_2!F$16&gt;0,INDIRECT(ADDRESS(20,2,,,_2!F$14)),0)</f>
        <v>0</v>
      </c>
      <c r="I43" s="9" t="e">
        <f ca="1">_2!H$16*J43+_2!I$16*K43</f>
        <v>#REF!</v>
      </c>
      <c r="J43" s="10" t="e">
        <f ca="1">IF(_2!H$16&gt;0,INDIRECT(ADDRESS(20,2,,,_2!H$14)),0)</f>
        <v>#REF!</v>
      </c>
      <c r="K43" s="230">
        <f ca="1">IF(_2!I$16&gt;0,INDIRECT(ADDRESS(20,2,,,_2!I$14)),0)</f>
        <v>0</v>
      </c>
      <c r="O43" s="24" t="e">
        <f t="shared" ca="1" si="0"/>
        <v>#REF!</v>
      </c>
      <c r="P43" s="23"/>
      <c r="Q43" s="23"/>
    </row>
    <row r="44" spans="1:17" ht="15.4" x14ac:dyDescent="0.4">
      <c r="A44" s="58" t="s">
        <v>26</v>
      </c>
      <c r="B44" s="170" t="s">
        <v>193</v>
      </c>
      <c r="C44" s="52" t="s">
        <v>145</v>
      </c>
      <c r="D44" s="19">
        <v>40</v>
      </c>
      <c r="E44" s="3" t="e">
        <f t="shared" ca="1" si="1"/>
        <v>#REF!</v>
      </c>
      <c r="F44" s="20" t="e">
        <f ca="1">_2!E$16*G44+_2!F$16*H44</f>
        <v>#REF!</v>
      </c>
      <c r="G44" s="10" t="e">
        <f ca="1">IF(_2!E$16&gt;0,INDIRECT(ADDRESS(21,2,,,_2!E$14)),0)</f>
        <v>#REF!</v>
      </c>
      <c r="H44" s="10">
        <f ca="1">IF(_2!F$16&gt;0,INDIRECT(ADDRESS(21,2,,,_2!F$14)),0)</f>
        <v>0</v>
      </c>
      <c r="I44" s="9" t="e">
        <f ca="1">_2!H$16*J44+_2!I$16*K44</f>
        <v>#REF!</v>
      </c>
      <c r="J44" s="10" t="e">
        <f ca="1">IF(_2!H$16&gt;0,INDIRECT(ADDRESS(21,2,,,_2!H$14)),0)</f>
        <v>#REF!</v>
      </c>
      <c r="K44" s="230">
        <f ca="1">IF(_2!I$16&gt;0,INDIRECT(ADDRESS(21,2,,,_2!I$14)),0)</f>
        <v>0</v>
      </c>
      <c r="O44" s="24" t="e">
        <f t="shared" ca="1" si="0"/>
        <v>#REF!</v>
      </c>
      <c r="P44" s="23"/>
      <c r="Q44" s="23"/>
    </row>
    <row r="45" spans="1:17" ht="15.6" customHeight="1" thickBot="1" x14ac:dyDescent="0.45">
      <c r="A45" s="58"/>
      <c r="B45" s="17"/>
      <c r="C45" s="54" t="s">
        <v>147</v>
      </c>
      <c r="D45" s="19" t="s">
        <v>146</v>
      </c>
      <c r="E45" s="3" t="e">
        <f t="shared" ca="1" si="1"/>
        <v>#REF!</v>
      </c>
      <c r="F45" s="20" t="e">
        <f ca="1">_2!E$16*G45+_2!F$16*H45</f>
        <v>#REF!</v>
      </c>
      <c r="G45" s="10" t="e">
        <f ca="1">IF(_2!E$16&gt;0,INDIRECT(ADDRESS(35,3,,,_2!E$14)),0)</f>
        <v>#REF!</v>
      </c>
      <c r="H45" s="10">
        <f ca="1">IF(_2!F$16&gt;0,INDIRECT(ADDRESS(35,3,,,_2!F$14)),0)</f>
        <v>0</v>
      </c>
      <c r="I45" s="9" t="e">
        <f ca="1">_2!H$16*J45+_2!I$16*K45</f>
        <v>#REF!</v>
      </c>
      <c r="J45" s="10" t="e">
        <f ca="1">IF(_2!H$16&gt;0,INDIRECT(ADDRESS(35,3,,,_2!H$14)),0)</f>
        <v>#REF!</v>
      </c>
      <c r="K45" s="230">
        <f ca="1">IF(_2!I$16&gt;0,INDIRECT(ADDRESS(35,3,,,_2!I$14)),0)</f>
        <v>0</v>
      </c>
      <c r="O45" s="24" t="e">
        <f t="shared" ca="1" si="0"/>
        <v>#REF!</v>
      </c>
      <c r="P45" s="23"/>
      <c r="Q45" s="23"/>
    </row>
    <row r="46" spans="1:17" ht="15.4" x14ac:dyDescent="0.45">
      <c r="A46" s="267" t="s">
        <v>8</v>
      </c>
      <c r="B46" s="268" t="s">
        <v>39</v>
      </c>
      <c r="C46" s="154"/>
      <c r="D46" s="269"/>
      <c r="E46" s="206" t="e">
        <f ca="1">F46+I46</f>
        <v>#REF!</v>
      </c>
      <c r="F46" s="194" t="e">
        <f ca="1">_2!E$31*G46+_2!F$31*H46</f>
        <v>#REF!</v>
      </c>
      <c r="G46" s="5" t="e">
        <f ca="1">IF(G$48=$B46,_2!E35,0)</f>
        <v>#REF!</v>
      </c>
      <c r="H46" s="5">
        <f ca="1">IF(H$48=$B46,_2!F35,0)</f>
        <v>0</v>
      </c>
      <c r="I46" s="21" t="e">
        <f ca="1">_2!H$31*J46+_2!I$31*K46</f>
        <v>#REF!</v>
      </c>
      <c r="J46" s="5" t="e">
        <f ca="1">IF(J$48=$B46,_2!H35,0)</f>
        <v>#REF!</v>
      </c>
      <c r="K46" s="6">
        <f ca="1">IF(K$48=$B46,_2!I35,0)</f>
        <v>0</v>
      </c>
      <c r="O46" s="24" t="e">
        <f t="shared" ca="1" si="0"/>
        <v>#REF!</v>
      </c>
      <c r="P46" s="23"/>
      <c r="Q46" s="23"/>
    </row>
    <row r="47" spans="1:17" ht="15.4" x14ac:dyDescent="0.45">
      <c r="A47" s="57"/>
      <c r="B47" s="20"/>
      <c r="C47" s="158"/>
      <c r="D47" s="256"/>
      <c r="E47" s="3" t="e">
        <f ca="1">F47+I47</f>
        <v>#REF!</v>
      </c>
      <c r="F47" s="20" t="e">
        <f ca="1">_2!E$31*G47+_2!F$31*H47</f>
        <v>#REF!</v>
      </c>
      <c r="G47" s="1" t="e">
        <f ca="1">IF(G$48&lt;&gt;$B46,_2!E35,0)</f>
        <v>#REF!</v>
      </c>
      <c r="H47" s="1">
        <f ca="1">IF(H$48&lt;&gt;$B46,_2!F35,0)</f>
        <v>0</v>
      </c>
      <c r="I47" s="9" t="e">
        <f ca="1">_2!H$31*J47+_2!I$31*K47</f>
        <v>#REF!</v>
      </c>
      <c r="J47" s="1" t="e">
        <f ca="1">IF(J$48&lt;&gt;$B46,_2!H35,0)</f>
        <v>#REF!</v>
      </c>
      <c r="K47" s="8">
        <f ca="1">IF(K$48&lt;&gt;$B46,_2!I35,0)</f>
        <v>0</v>
      </c>
      <c r="O47" s="24" t="e">
        <f t="shared" ca="1" si="0"/>
        <v>#REF!</v>
      </c>
      <c r="P47" s="23"/>
      <c r="Q47" s="23"/>
    </row>
    <row r="48" spans="1:17" s="246" customFormat="1" ht="13.15" x14ac:dyDescent="0.45">
      <c r="A48" s="241" t="s">
        <v>352</v>
      </c>
      <c r="B48" s="253"/>
      <c r="C48" s="253"/>
      <c r="D48" s="257"/>
      <c r="E48" s="242"/>
      <c r="F48" s="243"/>
      <c r="G48" s="244" t="e">
        <f ca="1">IF(_2!E$31&gt;0,INDIRECT(ADDRESS(7,18,,,_2!E$30)),0)</f>
        <v>#REF!</v>
      </c>
      <c r="H48" s="244">
        <f ca="1">IF(_2!F$31&gt;0,INDIRECT(ADDRESS(7,18,,,_2!F$30)),0)</f>
        <v>0</v>
      </c>
      <c r="I48" s="245"/>
      <c r="J48" s="244" t="e">
        <f ca="1">IF(_2!H$31&gt;0,INDIRECT(ADDRESS(7,18,,,_2!H$30)),0)</f>
        <v>#REF!</v>
      </c>
      <c r="K48" s="263">
        <f ca="1">IF(_2!I$31&gt;0,INDIRECT(ADDRESS(7,18,,,_2!I$30)),0)</f>
        <v>0</v>
      </c>
      <c r="O48" s="24">
        <f t="shared" si="0"/>
        <v>0</v>
      </c>
      <c r="P48" s="247"/>
      <c r="Q48" s="247"/>
    </row>
    <row r="49" spans="1:17" ht="15.4" x14ac:dyDescent="0.4">
      <c r="A49" s="83" t="s">
        <v>26</v>
      </c>
      <c r="B49" s="169" t="s">
        <v>25</v>
      </c>
      <c r="C49" s="52" t="s">
        <v>145</v>
      </c>
      <c r="D49" s="84">
        <v>3</v>
      </c>
      <c r="E49" s="3" t="e">
        <f t="shared" ref="E49:E80" ca="1" si="2">F49+I49</f>
        <v>#REF!</v>
      </c>
      <c r="F49" s="20" t="e">
        <f ca="1">_2!E$31*G49+_2!F$31*H49</f>
        <v>#REF!</v>
      </c>
      <c r="G49" s="10" t="e">
        <f ca="1">IF(_2!E$31&gt;0,INDIRECT(ADDRESS(5,4,,,_2!E$30)),0)</f>
        <v>#REF!</v>
      </c>
      <c r="H49" s="10">
        <f ca="1">IF(_2!F$31&gt;0,INDIRECT(ADDRESS(5,4,,,_2!F$30)),0)</f>
        <v>0</v>
      </c>
      <c r="I49" s="9" t="e">
        <f ca="1">_2!H$31*J49+_2!I$31*K49</f>
        <v>#REF!</v>
      </c>
      <c r="J49" s="10" t="e">
        <f ca="1">IF(_2!H$31&gt;0,INDIRECT(ADDRESS(5,4,,,_2!H$30)),0)</f>
        <v>#REF!</v>
      </c>
      <c r="K49" s="230">
        <f ca="1">IF(_2!I$31&gt;0,INDIRECT(ADDRESS(5,4,,,_2!I$30)),0)</f>
        <v>0</v>
      </c>
      <c r="O49" s="24" t="e">
        <f t="shared" ca="1" si="0"/>
        <v>#REF!</v>
      </c>
      <c r="P49" s="23"/>
      <c r="Q49" s="23"/>
    </row>
    <row r="50" spans="1:17" ht="15.4" x14ac:dyDescent="0.4">
      <c r="A50" s="83" t="s">
        <v>26</v>
      </c>
      <c r="B50" s="169" t="s">
        <v>25</v>
      </c>
      <c r="C50" s="52" t="s">
        <v>145</v>
      </c>
      <c r="D50" s="84">
        <v>4</v>
      </c>
      <c r="E50" s="3" t="e">
        <f t="shared" ca="1" si="2"/>
        <v>#REF!</v>
      </c>
      <c r="F50" s="20" t="e">
        <f ca="1">_2!E$31*G50+_2!F$31*H50</f>
        <v>#REF!</v>
      </c>
      <c r="G50" s="10" t="e">
        <f ca="1">IF(_2!E$31&gt;0,INDIRECT(ADDRESS(6,4,,,_2!E$30)),0)</f>
        <v>#REF!</v>
      </c>
      <c r="H50" s="10">
        <f ca="1">IF(_2!F$31&gt;0,INDIRECT(ADDRESS(6,4,,,_2!F$30)),0)</f>
        <v>0</v>
      </c>
      <c r="I50" s="9" t="e">
        <f ca="1">_2!H$31*J50+_2!I$31*K50</f>
        <v>#REF!</v>
      </c>
      <c r="J50" s="10" t="e">
        <f ca="1">IF(_2!H$31&gt;0,INDIRECT(ADDRESS(6,4,,,_2!H$30)),0)</f>
        <v>#REF!</v>
      </c>
      <c r="K50" s="230">
        <f ca="1">IF(_2!I$31&gt;0,INDIRECT(ADDRESS(6,4,,,_2!I$30)),0)</f>
        <v>0</v>
      </c>
      <c r="O50" s="24" t="e">
        <f t="shared" ca="1" si="0"/>
        <v>#REF!</v>
      </c>
      <c r="P50" s="23"/>
      <c r="Q50" s="23"/>
    </row>
    <row r="51" spans="1:17" ht="15.4" x14ac:dyDescent="0.4">
      <c r="A51" s="83" t="s">
        <v>26</v>
      </c>
      <c r="B51" s="169" t="s">
        <v>25</v>
      </c>
      <c r="C51" s="52" t="s">
        <v>145</v>
      </c>
      <c r="D51" s="84">
        <v>5</v>
      </c>
      <c r="E51" s="3" t="e">
        <f t="shared" ca="1" si="2"/>
        <v>#REF!</v>
      </c>
      <c r="F51" s="20" t="e">
        <f ca="1">_2!E$31*G51+_2!F$31*H51</f>
        <v>#REF!</v>
      </c>
      <c r="G51" s="10" t="e">
        <f ca="1">IF(_2!E$31&gt;0,INDIRECT(ADDRESS(7,4,,,_2!E$30)),0)</f>
        <v>#REF!</v>
      </c>
      <c r="H51" s="10">
        <f ca="1">IF(_2!F$31&gt;0,INDIRECT(ADDRESS(7,4,,,_2!F$30)),0)</f>
        <v>0</v>
      </c>
      <c r="I51" s="9" t="e">
        <f ca="1">_2!H$31*J51+_2!I$31*K51</f>
        <v>#REF!</v>
      </c>
      <c r="J51" s="10" t="e">
        <f ca="1">IF(_2!H$31&gt;0,INDIRECT(ADDRESS(7,4,,,_2!H$30)),0)</f>
        <v>#REF!</v>
      </c>
      <c r="K51" s="230">
        <f ca="1">IF(_2!I$31&gt;0,INDIRECT(ADDRESS(7,4,,,_2!I$30)),0)</f>
        <v>0</v>
      </c>
      <c r="O51" s="24" t="e">
        <f t="shared" ca="1" si="0"/>
        <v>#REF!</v>
      </c>
      <c r="P51" s="23"/>
      <c r="Q51" s="23"/>
    </row>
    <row r="52" spans="1:17" ht="15.4" x14ac:dyDescent="0.4">
      <c r="A52" s="58" t="s">
        <v>26</v>
      </c>
      <c r="B52" s="168" t="s">
        <v>192</v>
      </c>
      <c r="C52" s="52" t="s">
        <v>145</v>
      </c>
      <c r="D52" s="19">
        <v>6</v>
      </c>
      <c r="E52" s="3" t="e">
        <f t="shared" ca="1" si="2"/>
        <v>#REF!</v>
      </c>
      <c r="F52" s="20" t="e">
        <f ca="1">_2!E$31*G52+_2!F$31*H52</f>
        <v>#REF!</v>
      </c>
      <c r="G52" s="10" t="e">
        <f ca="1">IF(_2!E$31&gt;0,INDIRECT(ADDRESS(8,3,,,_2!E$30)),0)</f>
        <v>#REF!</v>
      </c>
      <c r="H52" s="10">
        <f ca="1">IF(_2!F$31&gt;0,INDIRECT(ADDRESS(8,3,,,_2!F$30)),0)</f>
        <v>0</v>
      </c>
      <c r="I52" s="9" t="e">
        <f ca="1">_2!H$31*J52+_2!I$31*K52</f>
        <v>#REF!</v>
      </c>
      <c r="J52" s="10" t="e">
        <f ca="1">IF(_2!H$31&gt;0,INDIRECT(ADDRESS(8,3,,,_2!H$30)),0)</f>
        <v>#REF!</v>
      </c>
      <c r="K52" s="230">
        <f ca="1">IF(_2!I$31&gt;0,INDIRECT(ADDRESS(8,3,,,_2!I$30)),0)</f>
        <v>0</v>
      </c>
      <c r="O52" s="24" t="e">
        <f t="shared" ca="1" si="0"/>
        <v>#REF!</v>
      </c>
      <c r="P52" s="23"/>
      <c r="Q52" s="23"/>
    </row>
    <row r="53" spans="1:17" ht="15.4" x14ac:dyDescent="0.4">
      <c r="A53" s="58" t="s">
        <v>26</v>
      </c>
      <c r="B53" s="168" t="s">
        <v>192</v>
      </c>
      <c r="C53" s="52" t="s">
        <v>145</v>
      </c>
      <c r="D53" s="19">
        <v>8</v>
      </c>
      <c r="E53" s="3" t="e">
        <f t="shared" ca="1" si="2"/>
        <v>#REF!</v>
      </c>
      <c r="F53" s="20" t="e">
        <f ca="1">_2!E$31*G53+_2!F$31*H53</f>
        <v>#REF!</v>
      </c>
      <c r="G53" s="10" t="e">
        <f ca="1">IF(_2!E$31&gt;0,INDIRECT(ADDRESS(9,3,,,_2!E$30)),0)</f>
        <v>#REF!</v>
      </c>
      <c r="H53" s="10">
        <f ca="1">IF(_2!F$31&gt;0,INDIRECT(ADDRESS(9,3,,,_2!F$30)),0)</f>
        <v>0</v>
      </c>
      <c r="I53" s="9" t="e">
        <f ca="1">_2!H$31*J53+_2!I$31*K53</f>
        <v>#REF!</v>
      </c>
      <c r="J53" s="10" t="e">
        <f ca="1">IF(_2!H$31&gt;0,INDIRECT(ADDRESS(9,3,,,_2!H$30)),0)</f>
        <v>#REF!</v>
      </c>
      <c r="K53" s="230">
        <f ca="1">IF(_2!I$31&gt;0,INDIRECT(ADDRESS(9,3,,,_2!I$30)),0)</f>
        <v>0</v>
      </c>
      <c r="O53" s="24" t="e">
        <f t="shared" ca="1" si="0"/>
        <v>#REF!</v>
      </c>
      <c r="P53" s="23"/>
      <c r="Q53" s="23"/>
    </row>
    <row r="54" spans="1:17" ht="15.4" x14ac:dyDescent="0.4">
      <c r="A54" s="58" t="s">
        <v>26</v>
      </c>
      <c r="B54" s="168" t="s">
        <v>192</v>
      </c>
      <c r="C54" s="52" t="s">
        <v>145</v>
      </c>
      <c r="D54" s="19">
        <v>10</v>
      </c>
      <c r="E54" s="3" t="e">
        <f t="shared" ca="1" si="2"/>
        <v>#REF!</v>
      </c>
      <c r="F54" s="20" t="e">
        <f ca="1">_2!E$31*G54+_2!F$31*H54</f>
        <v>#REF!</v>
      </c>
      <c r="G54" s="10" t="e">
        <f ca="1">IF(_2!E$31&gt;0,INDIRECT(ADDRESS(10,3,,,_2!E$30)),0)</f>
        <v>#REF!</v>
      </c>
      <c r="H54" s="10">
        <f ca="1">IF(_2!F$31&gt;0,INDIRECT(ADDRESS(10,3,,,_2!F$30)),0)</f>
        <v>0</v>
      </c>
      <c r="I54" s="9" t="e">
        <f ca="1">_2!H$31*J54+_2!I$31*K54</f>
        <v>#REF!</v>
      </c>
      <c r="J54" s="10" t="e">
        <f ca="1">IF(_2!H$31&gt;0,INDIRECT(ADDRESS(10,3,,,_2!H$30)),0)</f>
        <v>#REF!</v>
      </c>
      <c r="K54" s="230">
        <f ca="1">IF(_2!I$31&gt;0,INDIRECT(ADDRESS(10,3,,,_2!I$30)),0)</f>
        <v>0</v>
      </c>
      <c r="O54" s="24" t="e">
        <f t="shared" ca="1" si="0"/>
        <v>#REF!</v>
      </c>
      <c r="P54" s="23"/>
      <c r="Q54" s="23"/>
    </row>
    <row r="55" spans="1:17" ht="15.4" x14ac:dyDescent="0.4">
      <c r="A55" s="58" t="s">
        <v>26</v>
      </c>
      <c r="B55" s="168" t="s">
        <v>192</v>
      </c>
      <c r="C55" s="52" t="s">
        <v>145</v>
      </c>
      <c r="D55" s="19">
        <v>12</v>
      </c>
      <c r="E55" s="3" t="e">
        <f t="shared" ca="1" si="2"/>
        <v>#REF!</v>
      </c>
      <c r="F55" s="20" t="e">
        <f ca="1">_2!E$31*G55+_2!F$31*H55</f>
        <v>#REF!</v>
      </c>
      <c r="G55" s="10" t="e">
        <f ca="1">IF(_2!E$31&gt;0,INDIRECT(ADDRESS(11,3,,,_2!E$30)),0)</f>
        <v>#REF!</v>
      </c>
      <c r="H55" s="10">
        <f ca="1">IF(_2!F$31&gt;0,INDIRECT(ADDRESS(11,3,,,_2!F$30)),0)</f>
        <v>0</v>
      </c>
      <c r="I55" s="9" t="e">
        <f ca="1">_2!H$31*J55+_2!I$31*K55</f>
        <v>#REF!</v>
      </c>
      <c r="J55" s="10" t="e">
        <f ca="1">IF(_2!H$31&gt;0,INDIRECT(ADDRESS(11,3,,,_2!H$30)),0)</f>
        <v>#REF!</v>
      </c>
      <c r="K55" s="230">
        <f ca="1">IF(_2!I$31&gt;0,INDIRECT(ADDRESS(11,3,,,_2!I$30)),0)</f>
        <v>0</v>
      </c>
      <c r="O55" s="24" t="e">
        <f t="shared" ca="1" si="0"/>
        <v>#REF!</v>
      </c>
      <c r="P55" s="23"/>
      <c r="Q55" s="23"/>
    </row>
    <row r="56" spans="1:17" ht="15.4" x14ac:dyDescent="0.4">
      <c r="A56" s="58" t="s">
        <v>26</v>
      </c>
      <c r="B56" s="168" t="s">
        <v>192</v>
      </c>
      <c r="C56" s="52" t="s">
        <v>145</v>
      </c>
      <c r="D56" s="19">
        <v>14</v>
      </c>
      <c r="E56" s="3" t="e">
        <f t="shared" ca="1" si="2"/>
        <v>#REF!</v>
      </c>
      <c r="F56" s="20" t="e">
        <f ca="1">_2!E$31*G56+_2!F$31*H56</f>
        <v>#REF!</v>
      </c>
      <c r="G56" s="10" t="e">
        <f ca="1">IF(_2!E$31&gt;0,INDIRECT(ADDRESS(12,3,,,_2!E$30)),0)</f>
        <v>#REF!</v>
      </c>
      <c r="H56" s="10">
        <f ca="1">IF(_2!F$31&gt;0,INDIRECT(ADDRESS(12,3,,,_2!F$30)),0)</f>
        <v>0</v>
      </c>
      <c r="I56" s="9" t="e">
        <f ca="1">_2!H$31*J56+_2!I$31*K56</f>
        <v>#REF!</v>
      </c>
      <c r="J56" s="10" t="e">
        <f ca="1">IF(_2!H$31&gt;0,INDIRECT(ADDRESS(12,3,,,_2!H$30)),0)</f>
        <v>#REF!</v>
      </c>
      <c r="K56" s="230">
        <f ca="1">IF(_2!I$31&gt;0,INDIRECT(ADDRESS(12,3,,,_2!I$30)),0)</f>
        <v>0</v>
      </c>
      <c r="O56" s="24" t="e">
        <f t="shared" ca="1" si="0"/>
        <v>#REF!</v>
      </c>
      <c r="P56" s="23"/>
      <c r="Q56" s="23"/>
    </row>
    <row r="57" spans="1:17" ht="15.4" x14ac:dyDescent="0.4">
      <c r="A57" s="58" t="s">
        <v>26</v>
      </c>
      <c r="B57" s="168" t="s">
        <v>192</v>
      </c>
      <c r="C57" s="52" t="s">
        <v>145</v>
      </c>
      <c r="D57" s="19">
        <v>16</v>
      </c>
      <c r="E57" s="3" t="e">
        <f t="shared" ca="1" si="2"/>
        <v>#REF!</v>
      </c>
      <c r="F57" s="20" t="e">
        <f ca="1">_2!E$31*G57+_2!F$31*H57</f>
        <v>#REF!</v>
      </c>
      <c r="G57" s="10" t="e">
        <f ca="1">IF(_2!E$31&gt;0,INDIRECT(ADDRESS(13,3,,,_2!E$30)),0)</f>
        <v>#REF!</v>
      </c>
      <c r="H57" s="10">
        <f ca="1">IF(_2!F$31&gt;0,INDIRECT(ADDRESS(13,3,,,_2!F$30)),0)</f>
        <v>0</v>
      </c>
      <c r="I57" s="9" t="e">
        <f ca="1">_2!H$31*J57+_2!I$31*K57</f>
        <v>#REF!</v>
      </c>
      <c r="J57" s="10" t="e">
        <f ca="1">IF(_2!H$31&gt;0,INDIRECT(ADDRESS(13,3,,,_2!H$30)),0)</f>
        <v>#REF!</v>
      </c>
      <c r="K57" s="230">
        <f ca="1">IF(_2!I$31&gt;0,INDIRECT(ADDRESS(13,3,,,_2!I$30)),0)</f>
        <v>0</v>
      </c>
      <c r="O57" s="24" t="e">
        <f t="shared" ca="1" si="0"/>
        <v>#REF!</v>
      </c>
      <c r="P57" s="23"/>
      <c r="Q57" s="23"/>
    </row>
    <row r="58" spans="1:17" ht="15.4" x14ac:dyDescent="0.4">
      <c r="A58" s="58" t="s">
        <v>26</v>
      </c>
      <c r="B58" s="168" t="s">
        <v>192</v>
      </c>
      <c r="C58" s="52" t="s">
        <v>145</v>
      </c>
      <c r="D58" s="19">
        <v>18</v>
      </c>
      <c r="E58" s="3" t="e">
        <f t="shared" ca="1" si="2"/>
        <v>#REF!</v>
      </c>
      <c r="F58" s="20" t="e">
        <f ca="1">_2!E$31*G58+_2!F$31*H58</f>
        <v>#REF!</v>
      </c>
      <c r="G58" s="10" t="e">
        <f ca="1">IF(_2!E$31&gt;0,INDIRECT(ADDRESS(14,3,,,_2!E$30)),0)</f>
        <v>#REF!</v>
      </c>
      <c r="H58" s="10">
        <f ca="1">IF(_2!F$31&gt;0,INDIRECT(ADDRESS(14,3,,,_2!F$30)),0)</f>
        <v>0</v>
      </c>
      <c r="I58" s="9" t="e">
        <f ca="1">_2!H$31*J58+_2!I$31*K58</f>
        <v>#REF!</v>
      </c>
      <c r="J58" s="10" t="e">
        <f ca="1">IF(_2!H$31&gt;0,INDIRECT(ADDRESS(14,3,,,_2!H$30)),0)</f>
        <v>#REF!</v>
      </c>
      <c r="K58" s="230">
        <f ca="1">IF(_2!I$31&gt;0,INDIRECT(ADDRESS(14,3,,,_2!I$30)),0)</f>
        <v>0</v>
      </c>
      <c r="O58" s="24" t="e">
        <f t="shared" ca="1" si="0"/>
        <v>#REF!</v>
      </c>
      <c r="P58" s="23"/>
      <c r="Q58" s="23"/>
    </row>
    <row r="59" spans="1:17" ht="15.4" x14ac:dyDescent="0.4">
      <c r="A59" s="58" t="s">
        <v>26</v>
      </c>
      <c r="B59" s="168" t="s">
        <v>192</v>
      </c>
      <c r="C59" s="52" t="s">
        <v>145</v>
      </c>
      <c r="D59" s="19">
        <v>20</v>
      </c>
      <c r="E59" s="3" t="e">
        <f t="shared" ca="1" si="2"/>
        <v>#REF!</v>
      </c>
      <c r="F59" s="20" t="e">
        <f ca="1">_2!E$31*G59+_2!F$31*H59</f>
        <v>#REF!</v>
      </c>
      <c r="G59" s="10" t="e">
        <f ca="1">IF(_2!E$31&gt;0,INDIRECT(ADDRESS(15,3,,,_2!E$30)),0)</f>
        <v>#REF!</v>
      </c>
      <c r="H59" s="10">
        <f ca="1">IF(_2!F$31&gt;0,INDIRECT(ADDRESS(15,3,,,_2!F$30)),0)</f>
        <v>0</v>
      </c>
      <c r="I59" s="9" t="e">
        <f ca="1">_2!H$31*J59+_2!I$31*K59</f>
        <v>#REF!</v>
      </c>
      <c r="J59" s="10" t="e">
        <f ca="1">IF(_2!H$31&gt;0,INDIRECT(ADDRESS(15,3,,,_2!H$30)),0)</f>
        <v>#REF!</v>
      </c>
      <c r="K59" s="230">
        <f ca="1">IF(_2!I$31&gt;0,INDIRECT(ADDRESS(15,3,,,_2!I$30)),0)</f>
        <v>0</v>
      </c>
      <c r="O59" s="24" t="e">
        <f t="shared" ca="1" si="0"/>
        <v>#REF!</v>
      </c>
      <c r="P59" s="23"/>
      <c r="Q59" s="23"/>
    </row>
    <row r="60" spans="1:17" ht="15.4" x14ac:dyDescent="0.4">
      <c r="A60" s="58" t="s">
        <v>26</v>
      </c>
      <c r="B60" s="168" t="s">
        <v>192</v>
      </c>
      <c r="C60" s="52" t="s">
        <v>145</v>
      </c>
      <c r="D60" s="19">
        <v>22</v>
      </c>
      <c r="E60" s="3" t="e">
        <f t="shared" ca="1" si="2"/>
        <v>#REF!</v>
      </c>
      <c r="F60" s="20" t="e">
        <f ca="1">_2!E$31*G60+_2!F$31*H60</f>
        <v>#REF!</v>
      </c>
      <c r="G60" s="10" t="e">
        <f ca="1">IF(_2!E$31&gt;0,INDIRECT(ADDRESS(16,3,,,_2!E$30)),0)</f>
        <v>#REF!</v>
      </c>
      <c r="H60" s="10">
        <f ca="1">IF(_2!F$31&gt;0,INDIRECT(ADDRESS(16,3,,,_2!F$30)),0)</f>
        <v>0</v>
      </c>
      <c r="I60" s="9" t="e">
        <f ca="1">_2!H$31*J60+_2!I$31*K60</f>
        <v>#REF!</v>
      </c>
      <c r="J60" s="10" t="e">
        <f ca="1">IF(_2!H$31&gt;0,INDIRECT(ADDRESS(16,3,,,_2!H$30)),0)</f>
        <v>#REF!</v>
      </c>
      <c r="K60" s="230">
        <f ca="1">IF(_2!I$31&gt;0,INDIRECT(ADDRESS(16,3,,,_2!I$30)),0)</f>
        <v>0</v>
      </c>
      <c r="O60" s="24" t="e">
        <f t="shared" ca="1" si="0"/>
        <v>#REF!</v>
      </c>
      <c r="P60" s="23"/>
      <c r="Q60" s="23"/>
    </row>
    <row r="61" spans="1:17" ht="15.4" x14ac:dyDescent="0.4">
      <c r="A61" s="58" t="s">
        <v>26</v>
      </c>
      <c r="B61" s="168" t="s">
        <v>192</v>
      </c>
      <c r="C61" s="52" t="s">
        <v>145</v>
      </c>
      <c r="D61" s="19">
        <v>25</v>
      </c>
      <c r="E61" s="3" t="e">
        <f t="shared" ca="1" si="2"/>
        <v>#REF!</v>
      </c>
      <c r="F61" s="20" t="e">
        <f ca="1">_2!E$31*G61+_2!F$31*H61</f>
        <v>#REF!</v>
      </c>
      <c r="G61" s="10" t="e">
        <f ca="1">IF(_2!E$31&gt;0,INDIRECT(ADDRESS(17,3,,,_2!E$30)),0)</f>
        <v>#REF!</v>
      </c>
      <c r="H61" s="10">
        <f ca="1">IF(_2!F$31&gt;0,INDIRECT(ADDRESS(17,3,,,_2!F$30)),0)</f>
        <v>0</v>
      </c>
      <c r="I61" s="9" t="e">
        <f ca="1">_2!H$31*J61+_2!I$31*K61</f>
        <v>#REF!</v>
      </c>
      <c r="J61" s="10" t="e">
        <f ca="1">IF(_2!H$31&gt;0,INDIRECT(ADDRESS(17,3,,,_2!H$30)),0)</f>
        <v>#REF!</v>
      </c>
      <c r="K61" s="230">
        <f ca="1">IF(_2!I$31&gt;0,INDIRECT(ADDRESS(17,3,,,_2!I$30)),0)</f>
        <v>0</v>
      </c>
      <c r="O61" s="24" t="e">
        <f t="shared" ca="1" si="0"/>
        <v>#REF!</v>
      </c>
      <c r="P61" s="23"/>
      <c r="Q61" s="23"/>
    </row>
    <row r="62" spans="1:17" ht="15.4" x14ac:dyDescent="0.4">
      <c r="A62" s="58" t="s">
        <v>26</v>
      </c>
      <c r="B62" s="168" t="s">
        <v>192</v>
      </c>
      <c r="C62" s="52" t="s">
        <v>145</v>
      </c>
      <c r="D62" s="19">
        <v>28</v>
      </c>
      <c r="E62" s="3" t="e">
        <f t="shared" ca="1" si="2"/>
        <v>#REF!</v>
      </c>
      <c r="F62" s="20" t="e">
        <f ca="1">_2!E$31*G62+_2!F$31*H62</f>
        <v>#REF!</v>
      </c>
      <c r="G62" s="10" t="e">
        <f ca="1">IF(_2!E$31&gt;0,INDIRECT(ADDRESS(18,3,,,_2!E$30)),0)</f>
        <v>#REF!</v>
      </c>
      <c r="H62" s="10">
        <f ca="1">IF(_2!F$31&gt;0,INDIRECT(ADDRESS(18,3,,,_2!F$30)),0)</f>
        <v>0</v>
      </c>
      <c r="I62" s="9" t="e">
        <f ca="1">_2!H$31*J62+_2!I$31*K62</f>
        <v>#REF!</v>
      </c>
      <c r="J62" s="10" t="e">
        <f ca="1">IF(_2!H$31&gt;0,INDIRECT(ADDRESS(18,3,,,_2!H$30)),0)</f>
        <v>#REF!</v>
      </c>
      <c r="K62" s="230">
        <f ca="1">IF(_2!I$31&gt;0,INDIRECT(ADDRESS(18,3,,,_2!I$30)),0)</f>
        <v>0</v>
      </c>
      <c r="O62" s="24" t="e">
        <f t="shared" ca="1" si="0"/>
        <v>#REF!</v>
      </c>
      <c r="P62" s="23"/>
      <c r="Q62" s="23"/>
    </row>
    <row r="63" spans="1:17" ht="15.4" x14ac:dyDescent="0.4">
      <c r="A63" s="58" t="s">
        <v>26</v>
      </c>
      <c r="B63" s="168" t="s">
        <v>192</v>
      </c>
      <c r="C63" s="52" t="s">
        <v>145</v>
      </c>
      <c r="D63" s="19">
        <v>32</v>
      </c>
      <c r="E63" s="3" t="e">
        <f t="shared" ca="1" si="2"/>
        <v>#REF!</v>
      </c>
      <c r="F63" s="20" t="e">
        <f ca="1">_2!E$31*G63+_2!F$31*H63</f>
        <v>#REF!</v>
      </c>
      <c r="G63" s="10" t="e">
        <f ca="1">IF(_2!E$31&gt;0,INDIRECT(ADDRESS(19,3,,,_2!E$30)),0)</f>
        <v>#REF!</v>
      </c>
      <c r="H63" s="10">
        <f ca="1">IF(_2!F$31&gt;0,INDIRECT(ADDRESS(19,3,,,_2!F$30)),0)</f>
        <v>0</v>
      </c>
      <c r="I63" s="9" t="e">
        <f ca="1">_2!H$31*J63+_2!I$31*K63</f>
        <v>#REF!</v>
      </c>
      <c r="J63" s="10" t="e">
        <f ca="1">IF(_2!H$31&gt;0,INDIRECT(ADDRESS(19,3,,,_2!H$30)),0)</f>
        <v>#REF!</v>
      </c>
      <c r="K63" s="230">
        <f ca="1">IF(_2!I$31&gt;0,INDIRECT(ADDRESS(19,3,,,_2!I$30)),0)</f>
        <v>0</v>
      </c>
      <c r="O63" s="24" t="e">
        <f t="shared" ca="1" si="0"/>
        <v>#REF!</v>
      </c>
      <c r="P63" s="23"/>
      <c r="Q63" s="23"/>
    </row>
    <row r="64" spans="1:17" ht="15.4" x14ac:dyDescent="0.4">
      <c r="A64" s="58" t="s">
        <v>26</v>
      </c>
      <c r="B64" s="168" t="s">
        <v>192</v>
      </c>
      <c r="C64" s="52" t="s">
        <v>145</v>
      </c>
      <c r="D64" s="19">
        <v>36</v>
      </c>
      <c r="E64" s="3" t="e">
        <f t="shared" ca="1" si="2"/>
        <v>#REF!</v>
      </c>
      <c r="F64" s="20" t="e">
        <f ca="1">_2!E$31*G64+_2!F$31*H64</f>
        <v>#REF!</v>
      </c>
      <c r="G64" s="10" t="e">
        <f ca="1">IF(_2!E$31&gt;0,INDIRECT(ADDRESS(20,3,,,_2!E$30)),0)</f>
        <v>#REF!</v>
      </c>
      <c r="H64" s="10">
        <f ca="1">IF(_2!F$31&gt;0,INDIRECT(ADDRESS(20,3,,,_2!F$30)),0)</f>
        <v>0</v>
      </c>
      <c r="I64" s="9" t="e">
        <f ca="1">_2!H$31*J64+_2!I$31*K64</f>
        <v>#REF!</v>
      </c>
      <c r="J64" s="10" t="e">
        <f ca="1">IF(_2!H$31&gt;0,INDIRECT(ADDRESS(20,3,,,_2!H$30)),0)</f>
        <v>#REF!</v>
      </c>
      <c r="K64" s="230">
        <f ca="1">IF(_2!I$31&gt;0,INDIRECT(ADDRESS(20,3,,,_2!I$30)),0)</f>
        <v>0</v>
      </c>
      <c r="O64" s="24" t="e">
        <f t="shared" ca="1" si="0"/>
        <v>#REF!</v>
      </c>
      <c r="P64" s="23"/>
      <c r="Q64" s="23"/>
    </row>
    <row r="65" spans="1:17" ht="15.4" x14ac:dyDescent="0.4">
      <c r="A65" s="58" t="s">
        <v>26</v>
      </c>
      <c r="B65" s="168" t="s">
        <v>192</v>
      </c>
      <c r="C65" s="52" t="s">
        <v>145</v>
      </c>
      <c r="D65" s="19">
        <v>40</v>
      </c>
      <c r="E65" s="3" t="e">
        <f t="shared" ca="1" si="2"/>
        <v>#REF!</v>
      </c>
      <c r="F65" s="20" t="e">
        <f ca="1">_2!E$31*G65+_2!F$31*H65</f>
        <v>#REF!</v>
      </c>
      <c r="G65" s="10" t="e">
        <f ca="1">IF(_2!E$31&gt;0,INDIRECT(ADDRESS(21,3,,,_2!E$30)),0)</f>
        <v>#REF!</v>
      </c>
      <c r="H65" s="10">
        <f ca="1">IF(_2!F$31&gt;0,INDIRECT(ADDRESS(21,3,,,_2!F$30)),0)</f>
        <v>0</v>
      </c>
      <c r="I65" s="9" t="e">
        <f ca="1">_2!H$31*J65+_2!I$31*K65</f>
        <v>#REF!</v>
      </c>
      <c r="J65" s="10" t="e">
        <f ca="1">IF(_2!H$31&gt;0,INDIRECT(ADDRESS(21,3,,,_2!H$30)),0)</f>
        <v>#REF!</v>
      </c>
      <c r="K65" s="230">
        <f ca="1">IF(_2!I$31&gt;0,INDIRECT(ADDRESS(21,3,,,_2!I$30)),0)</f>
        <v>0</v>
      </c>
      <c r="O65" s="24" t="e">
        <f t="shared" ca="1" si="0"/>
        <v>#REF!</v>
      </c>
      <c r="P65" s="23"/>
      <c r="Q65" s="23"/>
    </row>
    <row r="66" spans="1:17" ht="15.4" x14ac:dyDescent="0.4">
      <c r="A66" s="58" t="s">
        <v>26</v>
      </c>
      <c r="B66" s="170" t="s">
        <v>193</v>
      </c>
      <c r="C66" s="52" t="s">
        <v>145</v>
      </c>
      <c r="D66" s="19">
        <v>6</v>
      </c>
      <c r="E66" s="3" t="e">
        <f t="shared" ca="1" si="2"/>
        <v>#REF!</v>
      </c>
      <c r="F66" s="20" t="e">
        <f ca="1">_2!E$31*G66+_2!F$31*H66</f>
        <v>#REF!</v>
      </c>
      <c r="G66" s="10" t="e">
        <f ca="1">IF(_2!E$31&gt;0,INDIRECT(ADDRESS(8,2,,,_2!E$30)),0)</f>
        <v>#REF!</v>
      </c>
      <c r="H66" s="10">
        <f ca="1">IF(_2!F$31&gt;0,INDIRECT(ADDRESS(8,2,,,_2!F$30)),0)</f>
        <v>0</v>
      </c>
      <c r="I66" s="9" t="e">
        <f ca="1">_2!H$31*J66+_2!I$31*K66</f>
        <v>#REF!</v>
      </c>
      <c r="J66" s="10" t="e">
        <f ca="1">IF(_2!H$31&gt;0,INDIRECT(ADDRESS(8,2,,,_2!H$30)),0)</f>
        <v>#REF!</v>
      </c>
      <c r="K66" s="230">
        <f ca="1">IF(_2!I$31&gt;0,INDIRECT(ADDRESS(8,2,,,_2!I$30)),0)</f>
        <v>0</v>
      </c>
      <c r="O66" s="24" t="e">
        <f t="shared" ca="1" si="0"/>
        <v>#REF!</v>
      </c>
      <c r="P66" s="23"/>
      <c r="Q66" s="23"/>
    </row>
    <row r="67" spans="1:17" ht="15.4" x14ac:dyDescent="0.4">
      <c r="A67" s="58" t="s">
        <v>26</v>
      </c>
      <c r="B67" s="170" t="s">
        <v>193</v>
      </c>
      <c r="C67" s="52" t="s">
        <v>145</v>
      </c>
      <c r="D67" s="19">
        <v>8</v>
      </c>
      <c r="E67" s="3" t="e">
        <f t="shared" ca="1" si="2"/>
        <v>#REF!</v>
      </c>
      <c r="F67" s="20" t="e">
        <f ca="1">_2!E$31*G67+_2!F$31*H67</f>
        <v>#REF!</v>
      </c>
      <c r="G67" s="10" t="e">
        <f ca="1">IF(_2!E$31&gt;0,INDIRECT(ADDRESS(9,2,,,_2!E$30)),0)</f>
        <v>#REF!</v>
      </c>
      <c r="H67" s="10">
        <f ca="1">IF(_2!F$31&gt;0,INDIRECT(ADDRESS(9,2,,,_2!F$30)),0)</f>
        <v>0</v>
      </c>
      <c r="I67" s="9" t="e">
        <f ca="1">_2!H$31*J67+_2!I$31*K67</f>
        <v>#REF!</v>
      </c>
      <c r="J67" s="10" t="e">
        <f ca="1">IF(_2!H$31&gt;0,INDIRECT(ADDRESS(9,2,,,_2!H$30)),0)</f>
        <v>#REF!</v>
      </c>
      <c r="K67" s="230">
        <f ca="1">IF(_2!I$31&gt;0,INDIRECT(ADDRESS(9,2,,,_2!I$30)),0)</f>
        <v>0</v>
      </c>
      <c r="O67" s="24" t="e">
        <f t="shared" ca="1" si="0"/>
        <v>#REF!</v>
      </c>
      <c r="P67" s="23"/>
      <c r="Q67" s="23"/>
    </row>
    <row r="68" spans="1:17" ht="15.4" x14ac:dyDescent="0.4">
      <c r="A68" s="58" t="s">
        <v>26</v>
      </c>
      <c r="B68" s="170" t="s">
        <v>193</v>
      </c>
      <c r="C68" s="52" t="s">
        <v>145</v>
      </c>
      <c r="D68" s="19">
        <v>10</v>
      </c>
      <c r="E68" s="3" t="e">
        <f t="shared" ca="1" si="2"/>
        <v>#REF!</v>
      </c>
      <c r="F68" s="20" t="e">
        <f ca="1">_2!E$31*G68+_2!F$31*H68</f>
        <v>#REF!</v>
      </c>
      <c r="G68" s="10" t="e">
        <f ca="1">IF(_2!E$31&gt;0,INDIRECT(ADDRESS(10,2,,,_2!E$30)),0)</f>
        <v>#REF!</v>
      </c>
      <c r="H68" s="10">
        <f ca="1">IF(_2!F$31&gt;0,INDIRECT(ADDRESS(10,2,,,_2!F$30)),0)</f>
        <v>0</v>
      </c>
      <c r="I68" s="9" t="e">
        <f ca="1">_2!H$31*J68+_2!I$31*K68</f>
        <v>#REF!</v>
      </c>
      <c r="J68" s="10" t="e">
        <f ca="1">IF(_2!H$31&gt;0,INDIRECT(ADDRESS(10,2,,,_2!H$30)),0)</f>
        <v>#REF!</v>
      </c>
      <c r="K68" s="230">
        <f ca="1">IF(_2!I$31&gt;0,INDIRECT(ADDRESS(10,2,,,_2!I$30)),0)</f>
        <v>0</v>
      </c>
      <c r="O68" s="24" t="e">
        <f t="shared" ca="1" si="0"/>
        <v>#REF!</v>
      </c>
      <c r="P68" s="23"/>
      <c r="Q68" s="23"/>
    </row>
    <row r="69" spans="1:17" ht="15.4" x14ac:dyDescent="0.4">
      <c r="A69" s="58" t="s">
        <v>26</v>
      </c>
      <c r="B69" s="170" t="s">
        <v>193</v>
      </c>
      <c r="C69" s="52" t="s">
        <v>145</v>
      </c>
      <c r="D69" s="19">
        <v>12</v>
      </c>
      <c r="E69" s="3" t="e">
        <f t="shared" ca="1" si="2"/>
        <v>#REF!</v>
      </c>
      <c r="F69" s="20" t="e">
        <f ca="1">_2!E$31*G69+_2!F$31*H69</f>
        <v>#REF!</v>
      </c>
      <c r="G69" s="10" t="e">
        <f ca="1">IF(_2!E$31&gt;0,INDIRECT(ADDRESS(11,2,,,_2!E$30)),0)</f>
        <v>#REF!</v>
      </c>
      <c r="H69" s="10">
        <f ca="1">IF(_2!F$31&gt;0,INDIRECT(ADDRESS(11,2,,,_2!F$30)),0)</f>
        <v>0</v>
      </c>
      <c r="I69" s="9" t="e">
        <f ca="1">_2!H$31*J69+_2!I$31*K69</f>
        <v>#REF!</v>
      </c>
      <c r="J69" s="10" t="e">
        <f ca="1">IF(_2!H$31&gt;0,INDIRECT(ADDRESS(11,2,,,_2!H$30)),0)</f>
        <v>#REF!</v>
      </c>
      <c r="K69" s="230">
        <f ca="1">IF(_2!I$31&gt;0,INDIRECT(ADDRESS(11,2,,,_2!I$30)),0)</f>
        <v>0</v>
      </c>
      <c r="O69" s="24" t="e">
        <f t="shared" ca="1" si="0"/>
        <v>#REF!</v>
      </c>
      <c r="P69" s="23"/>
      <c r="Q69" s="23"/>
    </row>
    <row r="70" spans="1:17" ht="15.4" x14ac:dyDescent="0.4">
      <c r="A70" s="58" t="s">
        <v>26</v>
      </c>
      <c r="B70" s="170" t="s">
        <v>193</v>
      </c>
      <c r="C70" s="52" t="s">
        <v>145</v>
      </c>
      <c r="D70" s="19">
        <v>14</v>
      </c>
      <c r="E70" s="3" t="e">
        <f t="shared" ca="1" si="2"/>
        <v>#REF!</v>
      </c>
      <c r="F70" s="20" t="e">
        <f ca="1">_2!E$31*G70+_2!F$31*H70</f>
        <v>#REF!</v>
      </c>
      <c r="G70" s="10" t="e">
        <f ca="1">IF(_2!E$31&gt;0,INDIRECT(ADDRESS(12,2,,,_2!E$30)),0)</f>
        <v>#REF!</v>
      </c>
      <c r="H70" s="10">
        <f ca="1">IF(_2!F$31&gt;0,INDIRECT(ADDRESS(12,2,,,_2!F$30)),0)</f>
        <v>0</v>
      </c>
      <c r="I70" s="9" t="e">
        <f ca="1">_2!H$31*J70+_2!I$31*K70</f>
        <v>#REF!</v>
      </c>
      <c r="J70" s="10" t="e">
        <f ca="1">IF(_2!H$31&gt;0,INDIRECT(ADDRESS(12,2,,,_2!H$30)),0)</f>
        <v>#REF!</v>
      </c>
      <c r="K70" s="230">
        <f ca="1">IF(_2!I$31&gt;0,INDIRECT(ADDRESS(12,2,,,_2!I$30)),0)</f>
        <v>0</v>
      </c>
      <c r="O70" s="24" t="e">
        <f t="shared" ca="1" si="0"/>
        <v>#REF!</v>
      </c>
      <c r="P70" s="23"/>
      <c r="Q70" s="23"/>
    </row>
    <row r="71" spans="1:17" ht="15.4" x14ac:dyDescent="0.4">
      <c r="A71" s="58" t="s">
        <v>26</v>
      </c>
      <c r="B71" s="170" t="s">
        <v>193</v>
      </c>
      <c r="C71" s="52" t="s">
        <v>145</v>
      </c>
      <c r="D71" s="19">
        <v>16</v>
      </c>
      <c r="E71" s="3" t="e">
        <f t="shared" ca="1" si="2"/>
        <v>#REF!</v>
      </c>
      <c r="F71" s="20" t="e">
        <f ca="1">_2!E$31*G71+_2!F$31*H71</f>
        <v>#REF!</v>
      </c>
      <c r="G71" s="10" t="e">
        <f ca="1">IF(_2!E$31&gt;0,INDIRECT(ADDRESS(13,2,,,_2!E$30)),0)</f>
        <v>#REF!</v>
      </c>
      <c r="H71" s="10">
        <f ca="1">IF(_2!F$31&gt;0,INDIRECT(ADDRESS(13,2,,,_2!F$30)),0)</f>
        <v>0</v>
      </c>
      <c r="I71" s="9" t="e">
        <f ca="1">_2!H$31*J71+_2!I$31*K71</f>
        <v>#REF!</v>
      </c>
      <c r="J71" s="10" t="e">
        <f ca="1">IF(_2!H$31&gt;0,INDIRECT(ADDRESS(13,2,,,_2!H$30)),0)</f>
        <v>#REF!</v>
      </c>
      <c r="K71" s="230">
        <f ca="1">IF(_2!I$31&gt;0,INDIRECT(ADDRESS(13,2,,,_2!I$30)),0)</f>
        <v>0</v>
      </c>
      <c r="O71" s="24" t="e">
        <f t="shared" ca="1" si="0"/>
        <v>#REF!</v>
      </c>
      <c r="P71" s="23"/>
      <c r="Q71" s="23"/>
    </row>
    <row r="72" spans="1:17" ht="15.4" x14ac:dyDescent="0.4">
      <c r="A72" s="58" t="s">
        <v>26</v>
      </c>
      <c r="B72" s="170" t="s">
        <v>193</v>
      </c>
      <c r="C72" s="52" t="s">
        <v>145</v>
      </c>
      <c r="D72" s="19">
        <v>18</v>
      </c>
      <c r="E72" s="3" t="e">
        <f t="shared" ca="1" si="2"/>
        <v>#REF!</v>
      </c>
      <c r="F72" s="20" t="e">
        <f ca="1">_2!E$31*G72+_2!F$31*H72</f>
        <v>#REF!</v>
      </c>
      <c r="G72" s="10" t="e">
        <f ca="1">IF(_2!E$31&gt;0,INDIRECT(ADDRESS(14,2,,,_2!E$30)),0)</f>
        <v>#REF!</v>
      </c>
      <c r="H72" s="10">
        <f ca="1">IF(_2!F$31&gt;0,INDIRECT(ADDRESS(14,2,,,_2!F$30)),0)</f>
        <v>0</v>
      </c>
      <c r="I72" s="9" t="e">
        <f ca="1">_2!H$31*J72+_2!I$31*K72</f>
        <v>#REF!</v>
      </c>
      <c r="J72" s="10" t="e">
        <f ca="1">IF(_2!H$31&gt;0,INDIRECT(ADDRESS(14,2,,,_2!H$30)),0)</f>
        <v>#REF!</v>
      </c>
      <c r="K72" s="230">
        <f ca="1">IF(_2!I$31&gt;0,INDIRECT(ADDRESS(14,2,,,_2!I$30)),0)</f>
        <v>0</v>
      </c>
      <c r="O72" s="24" t="e">
        <f t="shared" ca="1" si="0"/>
        <v>#REF!</v>
      </c>
      <c r="P72" s="23"/>
      <c r="Q72" s="23"/>
    </row>
    <row r="73" spans="1:17" ht="15.4" x14ac:dyDescent="0.4">
      <c r="A73" s="58" t="s">
        <v>26</v>
      </c>
      <c r="B73" s="170" t="s">
        <v>193</v>
      </c>
      <c r="C73" s="52" t="s">
        <v>145</v>
      </c>
      <c r="D73" s="19">
        <v>20</v>
      </c>
      <c r="E73" s="3" t="e">
        <f t="shared" ca="1" si="2"/>
        <v>#REF!</v>
      </c>
      <c r="F73" s="20" t="e">
        <f ca="1">_2!E$31*G73+_2!F$31*H73</f>
        <v>#REF!</v>
      </c>
      <c r="G73" s="10" t="e">
        <f ca="1">IF(_2!E$31&gt;0,INDIRECT(ADDRESS(15,2,,,_2!E$30)),0)</f>
        <v>#REF!</v>
      </c>
      <c r="H73" s="10">
        <f ca="1">IF(_2!F$31&gt;0,INDIRECT(ADDRESS(15,2,,,_2!F$30)),0)</f>
        <v>0</v>
      </c>
      <c r="I73" s="9" t="e">
        <f ca="1">_2!H$31*J73+_2!I$31*K73</f>
        <v>#REF!</v>
      </c>
      <c r="J73" s="10" t="e">
        <f ca="1">IF(_2!H$31&gt;0,INDIRECT(ADDRESS(15,2,,,_2!H$30)),0)</f>
        <v>#REF!</v>
      </c>
      <c r="K73" s="230">
        <f ca="1">IF(_2!I$31&gt;0,INDIRECT(ADDRESS(15,2,,,_2!I$30)),0)</f>
        <v>0</v>
      </c>
      <c r="O73" s="24" t="e">
        <f t="shared" ca="1" si="0"/>
        <v>#REF!</v>
      </c>
      <c r="P73" s="23"/>
      <c r="Q73" s="23"/>
    </row>
    <row r="74" spans="1:17" ht="15.4" x14ac:dyDescent="0.4">
      <c r="A74" s="58" t="s">
        <v>26</v>
      </c>
      <c r="B74" s="170" t="s">
        <v>193</v>
      </c>
      <c r="C74" s="52" t="s">
        <v>145</v>
      </c>
      <c r="D74" s="19">
        <v>22</v>
      </c>
      <c r="E74" s="3" t="e">
        <f t="shared" ca="1" si="2"/>
        <v>#REF!</v>
      </c>
      <c r="F74" s="20" t="e">
        <f ca="1">_2!E$31*G74+_2!F$31*H74</f>
        <v>#REF!</v>
      </c>
      <c r="G74" s="10" t="e">
        <f ca="1">IF(_2!E$31&gt;0,INDIRECT(ADDRESS(16,2,,,_2!E$30)),0)</f>
        <v>#REF!</v>
      </c>
      <c r="H74" s="10">
        <f ca="1">IF(_2!F$31&gt;0,INDIRECT(ADDRESS(16,2,,,_2!F$30)),0)</f>
        <v>0</v>
      </c>
      <c r="I74" s="9" t="e">
        <f ca="1">_2!H$31*J74+_2!I$31*K74</f>
        <v>#REF!</v>
      </c>
      <c r="J74" s="10" t="e">
        <f ca="1">IF(_2!H$31&gt;0,INDIRECT(ADDRESS(16,2,,,_2!H$30)),0)</f>
        <v>#REF!</v>
      </c>
      <c r="K74" s="230">
        <f ca="1">IF(_2!I$31&gt;0,INDIRECT(ADDRESS(16,2,,,_2!I$30)),0)</f>
        <v>0</v>
      </c>
      <c r="O74" s="24" t="e">
        <f t="shared" ca="1" si="0"/>
        <v>#REF!</v>
      </c>
      <c r="P74" s="23"/>
      <c r="Q74" s="23"/>
    </row>
    <row r="75" spans="1:17" ht="15.4" x14ac:dyDescent="0.4">
      <c r="A75" s="58" t="s">
        <v>26</v>
      </c>
      <c r="B75" s="170" t="s">
        <v>193</v>
      </c>
      <c r="C75" s="52" t="s">
        <v>145</v>
      </c>
      <c r="D75" s="19">
        <v>25</v>
      </c>
      <c r="E75" s="3" t="e">
        <f t="shared" ca="1" si="2"/>
        <v>#REF!</v>
      </c>
      <c r="F75" s="20" t="e">
        <f ca="1">_2!E$31*G75+_2!F$31*H75</f>
        <v>#REF!</v>
      </c>
      <c r="G75" s="10" t="e">
        <f ca="1">IF(_2!E$31&gt;0,INDIRECT(ADDRESS(17,2,,,_2!E$30)),0)</f>
        <v>#REF!</v>
      </c>
      <c r="H75" s="10">
        <f ca="1">IF(_2!F$31&gt;0,INDIRECT(ADDRESS(17,2,,,_2!F$30)),0)</f>
        <v>0</v>
      </c>
      <c r="I75" s="9" t="e">
        <f ca="1">_2!H$31*J75+_2!I$31*K75</f>
        <v>#REF!</v>
      </c>
      <c r="J75" s="10" t="e">
        <f ca="1">IF(_2!H$31&gt;0,INDIRECT(ADDRESS(17,2,,,_2!H$30)),0)</f>
        <v>#REF!</v>
      </c>
      <c r="K75" s="230">
        <f ca="1">IF(_2!I$31&gt;0,INDIRECT(ADDRESS(17,2,,,_2!I$30)),0)</f>
        <v>0</v>
      </c>
      <c r="O75" s="24" t="e">
        <f t="shared" ca="1" si="0"/>
        <v>#REF!</v>
      </c>
      <c r="P75" s="23"/>
      <c r="Q75" s="23"/>
    </row>
    <row r="76" spans="1:17" ht="15.4" x14ac:dyDescent="0.4">
      <c r="A76" s="58" t="s">
        <v>26</v>
      </c>
      <c r="B76" s="170" t="s">
        <v>193</v>
      </c>
      <c r="C76" s="52" t="s">
        <v>145</v>
      </c>
      <c r="D76" s="19">
        <v>28</v>
      </c>
      <c r="E76" s="3" t="e">
        <f t="shared" ca="1" si="2"/>
        <v>#REF!</v>
      </c>
      <c r="F76" s="20" t="e">
        <f ca="1">_2!E$31*G76+_2!F$31*H76</f>
        <v>#REF!</v>
      </c>
      <c r="G76" s="10" t="e">
        <f ca="1">IF(_2!E$31&gt;0,INDIRECT(ADDRESS(18,2,,,_2!E$30)),0)</f>
        <v>#REF!</v>
      </c>
      <c r="H76" s="10">
        <f ca="1">IF(_2!F$31&gt;0,INDIRECT(ADDRESS(18,2,,,_2!F$30)),0)</f>
        <v>0</v>
      </c>
      <c r="I76" s="9" t="e">
        <f ca="1">_2!H$31*J76+_2!I$31*K76</f>
        <v>#REF!</v>
      </c>
      <c r="J76" s="10" t="e">
        <f ca="1">IF(_2!H$31&gt;0,INDIRECT(ADDRESS(18,2,,,_2!H$30)),0)</f>
        <v>#REF!</v>
      </c>
      <c r="K76" s="230">
        <f ca="1">IF(_2!I$31&gt;0,INDIRECT(ADDRESS(18,2,,,_2!I$30)),0)</f>
        <v>0</v>
      </c>
      <c r="O76" s="24" t="e">
        <f t="shared" ca="1" si="0"/>
        <v>#REF!</v>
      </c>
      <c r="P76" s="23"/>
      <c r="Q76" s="23"/>
    </row>
    <row r="77" spans="1:17" ht="15.4" x14ac:dyDescent="0.4">
      <c r="A77" s="58" t="s">
        <v>26</v>
      </c>
      <c r="B77" s="170" t="s">
        <v>193</v>
      </c>
      <c r="C77" s="52" t="s">
        <v>145</v>
      </c>
      <c r="D77" s="19">
        <v>32</v>
      </c>
      <c r="E77" s="3" t="e">
        <f t="shared" ca="1" si="2"/>
        <v>#REF!</v>
      </c>
      <c r="F77" s="20" t="e">
        <f ca="1">_2!E$31*G77+_2!F$31*H77</f>
        <v>#REF!</v>
      </c>
      <c r="G77" s="10" t="e">
        <f ca="1">IF(_2!E$31&gt;0,INDIRECT(ADDRESS(19,2,,,_2!E$30)),0)</f>
        <v>#REF!</v>
      </c>
      <c r="H77" s="10">
        <f ca="1">IF(_2!F$31&gt;0,INDIRECT(ADDRESS(19,2,,,_2!F$30)),0)</f>
        <v>0</v>
      </c>
      <c r="I77" s="9" t="e">
        <f ca="1">_2!H$31*J77+_2!I$31*K77</f>
        <v>#REF!</v>
      </c>
      <c r="J77" s="10" t="e">
        <f ca="1">IF(_2!H$31&gt;0,INDIRECT(ADDRESS(19,2,,,_2!H$30)),0)</f>
        <v>#REF!</v>
      </c>
      <c r="K77" s="230">
        <f ca="1">IF(_2!I$31&gt;0,INDIRECT(ADDRESS(19,2,,,_2!I$30)),0)</f>
        <v>0</v>
      </c>
      <c r="O77" s="24" t="e">
        <f t="shared" ca="1" si="0"/>
        <v>#REF!</v>
      </c>
      <c r="P77" s="23"/>
      <c r="Q77" s="23"/>
    </row>
    <row r="78" spans="1:17" ht="15.4" x14ac:dyDescent="0.4">
      <c r="A78" s="58" t="s">
        <v>26</v>
      </c>
      <c r="B78" s="170" t="s">
        <v>193</v>
      </c>
      <c r="C78" s="52" t="s">
        <v>145</v>
      </c>
      <c r="D78" s="19">
        <v>36</v>
      </c>
      <c r="E78" s="3" t="e">
        <f t="shared" ca="1" si="2"/>
        <v>#REF!</v>
      </c>
      <c r="F78" s="20" t="e">
        <f ca="1">_2!E$31*G78+_2!F$31*H78</f>
        <v>#REF!</v>
      </c>
      <c r="G78" s="10" t="e">
        <f ca="1">IF(_2!E$31&gt;0,INDIRECT(ADDRESS(20,2,,,_2!E$30)),0)</f>
        <v>#REF!</v>
      </c>
      <c r="H78" s="10">
        <f ca="1">IF(_2!F$31&gt;0,INDIRECT(ADDRESS(20,2,,,_2!F$30)),0)</f>
        <v>0</v>
      </c>
      <c r="I78" s="9" t="e">
        <f ca="1">_2!H$31*J78+_2!I$31*K78</f>
        <v>#REF!</v>
      </c>
      <c r="J78" s="10" t="e">
        <f ca="1">IF(_2!H$31&gt;0,INDIRECT(ADDRESS(20,2,,,_2!H$30)),0)</f>
        <v>#REF!</v>
      </c>
      <c r="K78" s="230">
        <f ca="1">IF(_2!I$31&gt;0,INDIRECT(ADDRESS(20,2,,,_2!I$30)),0)</f>
        <v>0</v>
      </c>
      <c r="O78" s="24" t="e">
        <f ca="1">IF(E78=0,0,1)</f>
        <v>#REF!</v>
      </c>
      <c r="P78" s="23"/>
      <c r="Q78" s="23"/>
    </row>
    <row r="79" spans="1:17" ht="15.4" x14ac:dyDescent="0.4">
      <c r="A79" s="58" t="s">
        <v>26</v>
      </c>
      <c r="B79" s="170" t="s">
        <v>193</v>
      </c>
      <c r="C79" s="52" t="s">
        <v>145</v>
      </c>
      <c r="D79" s="19">
        <v>40</v>
      </c>
      <c r="E79" s="3" t="e">
        <f t="shared" ca="1" si="2"/>
        <v>#REF!</v>
      </c>
      <c r="F79" s="20" t="e">
        <f ca="1">_2!E$31*G79+_2!F$31*H79</f>
        <v>#REF!</v>
      </c>
      <c r="G79" s="10" t="e">
        <f ca="1">IF(_2!E$31&gt;0,INDIRECT(ADDRESS(21,2,,,_2!E$30)),0)</f>
        <v>#REF!</v>
      </c>
      <c r="H79" s="10">
        <f ca="1">IF(_2!F$31&gt;0,INDIRECT(ADDRESS(21,2,,,_2!F$30)),0)</f>
        <v>0</v>
      </c>
      <c r="I79" s="9" t="e">
        <f ca="1">_2!H$31*J79+_2!I$31*K79</f>
        <v>#REF!</v>
      </c>
      <c r="J79" s="10" t="e">
        <f ca="1">IF(_2!H$31&gt;0,INDIRECT(ADDRESS(21,2,,,_2!H$30)),0)</f>
        <v>#REF!</v>
      </c>
      <c r="K79" s="230">
        <f ca="1">IF(_2!I$31&gt;0,INDIRECT(ADDRESS(21,2,,,_2!I$30)),0)</f>
        <v>0</v>
      </c>
      <c r="O79" s="24" t="e">
        <f ca="1">IF(E79=0,0,1)</f>
        <v>#REF!</v>
      </c>
      <c r="P79" s="23"/>
      <c r="Q79" s="23"/>
    </row>
    <row r="80" spans="1:17" ht="15.6" customHeight="1" thickBot="1" x14ac:dyDescent="0.45">
      <c r="A80" s="58"/>
      <c r="B80" s="17"/>
      <c r="C80" s="54" t="s">
        <v>147</v>
      </c>
      <c r="D80" s="255" t="s">
        <v>363</v>
      </c>
      <c r="E80" s="3" t="e">
        <f t="shared" ca="1" si="2"/>
        <v>#REF!</v>
      </c>
      <c r="F80" s="20" t="e">
        <f ca="1">_2!E$31*G80+_2!F$31*H80</f>
        <v>#REF!</v>
      </c>
      <c r="G80" s="10" t="e">
        <f ca="1">IF(_2!E$31&gt;0,INDIRECT(ADDRESS(35,3,,,_2!E$30)),0)</f>
        <v>#REF!</v>
      </c>
      <c r="H80" s="10">
        <f ca="1">IF(_2!F$31&gt;0,INDIRECT(ADDRESS(35,3,,,_2!F$30)),0)</f>
        <v>0</v>
      </c>
      <c r="I80" s="9" t="e">
        <f ca="1">_2!H$31*J80+_2!I$31*K80</f>
        <v>#REF!</v>
      </c>
      <c r="J80" s="10" t="e">
        <f ca="1">IF(_2!H$31&gt;0,INDIRECT(ADDRESS(35,3,,,_2!H$30)),0)</f>
        <v>#REF!</v>
      </c>
      <c r="K80" s="230">
        <f ca="1">IF(_2!I$31&gt;0,INDIRECT(ADDRESS(35,3,,,_2!I$30)),0)</f>
        <v>0</v>
      </c>
      <c r="O80" s="24" t="e">
        <f ca="1">IF(E80=0,0,1)</f>
        <v>#REF!</v>
      </c>
      <c r="P80" s="23"/>
      <c r="Q80" s="23"/>
    </row>
    <row r="81" spans="1:17" ht="15.6" customHeight="1" x14ac:dyDescent="0.45">
      <c r="A81" s="267" t="s">
        <v>370</v>
      </c>
      <c r="B81" s="268" t="s">
        <v>39</v>
      </c>
      <c r="C81" s="154"/>
      <c r="D81" s="269"/>
      <c r="E81" s="206" t="e">
        <f ca="1">F81+I81</f>
        <v>#REF!</v>
      </c>
      <c r="F81" s="194" t="e">
        <f ca="1">_2!E$31*G81+_2!F$31*H81</f>
        <v>#REF!</v>
      </c>
      <c r="G81" s="5" t="e">
        <f ca="1">IF(G$83=$B81,_2!E$43,0)</f>
        <v>#REF!</v>
      </c>
      <c r="H81" s="6">
        <f ca="1">IF(H$83=$B81,_2!F$43,0)</f>
        <v>0</v>
      </c>
      <c r="I81" s="194">
        <f ca="1">_2!H$31*J81+_2!I$31*K81</f>
        <v>0</v>
      </c>
      <c r="J81" s="5">
        <f ca="1">IF(J$83=$B81,_2!H$43,0)</f>
        <v>0</v>
      </c>
      <c r="K81" s="6">
        <f ca="1">IF(K$83=$B81,_2!I$43,0)</f>
        <v>0</v>
      </c>
      <c r="O81" s="24" t="e">
        <f t="shared" ref="O81:O117" ca="1" si="3">IF(E81=0,0,1)</f>
        <v>#REF!</v>
      </c>
      <c r="P81" s="23"/>
      <c r="Q81" s="23"/>
    </row>
    <row r="82" spans="1:17" ht="15.6" customHeight="1" x14ac:dyDescent="0.45">
      <c r="A82" s="57"/>
      <c r="B82" s="20"/>
      <c r="C82" s="158"/>
      <c r="D82" s="256"/>
      <c r="E82" s="3" t="e">
        <f ca="1">F82+I82</f>
        <v>#REF!</v>
      </c>
      <c r="F82" s="20" t="e">
        <f ca="1">_2!E$31*G82+_2!F$31*H82</f>
        <v>#REF!</v>
      </c>
      <c r="G82" s="1" t="e">
        <f ca="1">IF(G$83=$B82,_2!E$43,0)</f>
        <v>#REF!</v>
      </c>
      <c r="H82" s="8">
        <f ca="1">IF(H$83=$B82,_2!F$43,0)</f>
        <v>0</v>
      </c>
      <c r="I82" s="20">
        <f ca="1">_2!H$31*J82+_2!I$31*K82</f>
        <v>0</v>
      </c>
      <c r="J82" s="1">
        <f ca="1">IF(J$83=$B82,_2!H$43,0)</f>
        <v>0</v>
      </c>
      <c r="K82" s="8">
        <f ca="1">IF(K$83=$B82,_2!I$43,0)</f>
        <v>0</v>
      </c>
      <c r="O82" s="24" t="e">
        <f t="shared" ca="1" si="3"/>
        <v>#REF!</v>
      </c>
      <c r="P82" s="23"/>
      <c r="Q82" s="23"/>
    </row>
    <row r="83" spans="1:17" ht="15.6" customHeight="1" x14ac:dyDescent="0.45">
      <c r="A83" s="241" t="s">
        <v>352</v>
      </c>
      <c r="B83" s="253"/>
      <c r="C83" s="253"/>
      <c r="D83" s="257"/>
      <c r="E83" s="262"/>
      <c r="F83" s="53"/>
      <c r="G83" s="244" t="e">
        <f ca="1">IF(_2!E$43&gt;0,INDIRECT(ADDRESS(7,18,,,_2!E$38)),0)</f>
        <v>#REF!</v>
      </c>
      <c r="H83" s="263">
        <f ca="1">IF(_2!F$43&gt;0,INDIRECT(ADDRESS(7,18,,,_2!F$38)),0)</f>
        <v>0</v>
      </c>
      <c r="I83" s="53"/>
      <c r="J83" s="244">
        <f ca="1">IF(_2!H$43&gt;0,INDIRECT(ADDRESS(7,18,,,_2!H$38)),0)</f>
        <v>0</v>
      </c>
      <c r="K83" s="263">
        <f ca="1">IF(_2!I$43&gt;0,INDIRECT(ADDRESS(7,18,,,_2!I$38)),0)</f>
        <v>0</v>
      </c>
      <c r="O83" s="24">
        <f t="shared" si="3"/>
        <v>0</v>
      </c>
      <c r="P83" s="23"/>
      <c r="Q83" s="23"/>
    </row>
    <row r="84" spans="1:17" ht="15.6" customHeight="1" x14ac:dyDescent="0.4">
      <c r="A84" s="83" t="s">
        <v>26</v>
      </c>
      <c r="B84" s="169" t="s">
        <v>338</v>
      </c>
      <c r="C84" s="259" t="s">
        <v>145</v>
      </c>
      <c r="D84" s="260">
        <v>3</v>
      </c>
      <c r="E84" s="3" t="e">
        <f ca="1">F84+I84</f>
        <v>#REF!</v>
      </c>
      <c r="F84" s="20" t="e">
        <f ca="1">_2!E$31*G84+_2!F$31*H84</f>
        <v>#REF!</v>
      </c>
      <c r="G84" s="10" t="e">
        <f ca="1">IF(_2!E$43&gt;0,INDIRECT(ADDRESS(5,4,,,_2!E$38)),0)</f>
        <v>#REF!</v>
      </c>
      <c r="H84" s="230">
        <f ca="1">IF(_2!F$43&gt;0,INDIRECT(ADDRESS(5,4,,,_2!F$38)),0)</f>
        <v>0</v>
      </c>
      <c r="I84" s="20">
        <f ca="1">_2!H$31*J84+_2!I$31*K84</f>
        <v>0</v>
      </c>
      <c r="J84" s="10">
        <f ca="1">IF(_2!H$43&gt;0,INDIRECT(ADDRESS(5,4,,,_2!H$38)),0)</f>
        <v>0</v>
      </c>
      <c r="K84" s="230">
        <f ca="1">IF(_2!I$43&gt;0,INDIRECT(ADDRESS(5,4,,,_2!I$38)),0)</f>
        <v>0</v>
      </c>
      <c r="O84" s="24" t="e">
        <f t="shared" ca="1" si="3"/>
        <v>#REF!</v>
      </c>
      <c r="P84" s="23"/>
      <c r="Q84" s="23"/>
    </row>
    <row r="85" spans="1:17" ht="15.6" customHeight="1" x14ac:dyDescent="0.4">
      <c r="A85" s="83" t="s">
        <v>26</v>
      </c>
      <c r="B85" s="169" t="s">
        <v>338</v>
      </c>
      <c r="C85" s="259" t="s">
        <v>145</v>
      </c>
      <c r="D85" s="260">
        <v>4</v>
      </c>
      <c r="E85" s="3" t="e">
        <f t="shared" ref="E85:E115" ca="1" si="4">F85+I85</f>
        <v>#REF!</v>
      </c>
      <c r="F85" s="20" t="e">
        <f ca="1">_2!E$31*G85+_2!F$31*H85</f>
        <v>#REF!</v>
      </c>
      <c r="G85" s="10" t="e">
        <f ca="1">IF(_2!E$43&gt;0,INDIRECT(ADDRESS(6,4,,,_2!E$38)),0)</f>
        <v>#REF!</v>
      </c>
      <c r="H85" s="230">
        <f ca="1">IF(_2!F$43&gt;0,INDIRECT(ADDRESS(6,4,,,_2!F$38)),0)</f>
        <v>0</v>
      </c>
      <c r="I85" s="20">
        <f ca="1">_2!H$31*J85+_2!I$31*K85</f>
        <v>0</v>
      </c>
      <c r="J85" s="10">
        <f ca="1">IF(_2!H$43&gt;0,INDIRECT(ADDRESS(6,4,,,_2!H$38)),0)</f>
        <v>0</v>
      </c>
      <c r="K85" s="230">
        <f ca="1">IF(_2!I$43&gt;0,INDIRECT(ADDRESS(6,4,,,_2!I$38)),0)</f>
        <v>0</v>
      </c>
      <c r="O85" s="24" t="e">
        <f t="shared" ca="1" si="3"/>
        <v>#REF!</v>
      </c>
      <c r="P85" s="23"/>
      <c r="Q85" s="23"/>
    </row>
    <row r="86" spans="1:17" ht="15.6" customHeight="1" x14ac:dyDescent="0.4">
      <c r="A86" s="83" t="s">
        <v>26</v>
      </c>
      <c r="B86" s="169" t="s">
        <v>338</v>
      </c>
      <c r="C86" s="259" t="s">
        <v>145</v>
      </c>
      <c r="D86" s="260">
        <v>5</v>
      </c>
      <c r="E86" s="3" t="e">
        <f t="shared" ca="1" si="4"/>
        <v>#REF!</v>
      </c>
      <c r="F86" s="20" t="e">
        <f ca="1">_2!E$31*G86+_2!F$31*H86</f>
        <v>#REF!</v>
      </c>
      <c r="G86" s="10" t="e">
        <f ca="1">IF(_2!E$43&gt;0,INDIRECT(ADDRESS(7,4,,,_2!E$38)),0)</f>
        <v>#REF!</v>
      </c>
      <c r="H86" s="230">
        <f ca="1">IF(_2!F$43&gt;0,INDIRECT(ADDRESS(7,4,,,_2!F$38)),0)</f>
        <v>0</v>
      </c>
      <c r="I86" s="20">
        <f ca="1">_2!H$31*J86+_2!I$31*K86</f>
        <v>0</v>
      </c>
      <c r="J86" s="10">
        <f ca="1">IF(_2!H$43&gt;0,INDIRECT(ADDRESS(7,4,,,_2!H$38)),0)</f>
        <v>0</v>
      </c>
      <c r="K86" s="230">
        <f ca="1">IF(_2!I$43&gt;0,INDIRECT(ADDRESS(7,4,,,_2!I$38)),0)</f>
        <v>0</v>
      </c>
      <c r="O86" s="24" t="e">
        <f t="shared" ca="1" si="3"/>
        <v>#REF!</v>
      </c>
      <c r="P86" s="23"/>
      <c r="Q86" s="23"/>
    </row>
    <row r="87" spans="1:17" ht="15.6" customHeight="1" x14ac:dyDescent="0.4">
      <c r="A87" s="58" t="s">
        <v>26</v>
      </c>
      <c r="B87" s="168" t="s">
        <v>192</v>
      </c>
      <c r="C87" s="259" t="s">
        <v>145</v>
      </c>
      <c r="D87" s="261">
        <v>6</v>
      </c>
      <c r="E87" s="3" t="e">
        <f t="shared" ca="1" si="4"/>
        <v>#REF!</v>
      </c>
      <c r="F87" s="20" t="e">
        <f ca="1">_2!E$31*G87+_2!F$31*H87</f>
        <v>#REF!</v>
      </c>
      <c r="G87" s="10" t="e">
        <f ca="1">IF(_2!E$43&gt;0,INDIRECT(ADDRESS(8,3,,,_2!E$38)),0)</f>
        <v>#REF!</v>
      </c>
      <c r="H87" s="230">
        <f ca="1">IF(_2!F$43&gt;0,INDIRECT(ADDRESS(8,3,,,_2!F$38)),0)</f>
        <v>0</v>
      </c>
      <c r="I87" s="20">
        <f ca="1">_2!H$31*J87+_2!I$31*K87</f>
        <v>0</v>
      </c>
      <c r="J87" s="10">
        <f ca="1">IF(_2!H$43&gt;0,INDIRECT(ADDRESS(8,3,,,_2!H$38)),0)</f>
        <v>0</v>
      </c>
      <c r="K87" s="230">
        <f ca="1">IF(_2!I$43&gt;0,INDIRECT(ADDRESS(8,3,,,_2!I$38)),0)</f>
        <v>0</v>
      </c>
      <c r="O87" s="24" t="e">
        <f t="shared" ca="1" si="3"/>
        <v>#REF!</v>
      </c>
      <c r="P87" s="23"/>
      <c r="Q87" s="23"/>
    </row>
    <row r="88" spans="1:17" ht="15.6" customHeight="1" x14ac:dyDescent="0.4">
      <c r="A88" s="58" t="s">
        <v>26</v>
      </c>
      <c r="B88" s="168" t="s">
        <v>192</v>
      </c>
      <c r="C88" s="259" t="s">
        <v>145</v>
      </c>
      <c r="D88" s="261">
        <v>8</v>
      </c>
      <c r="E88" s="3" t="e">
        <f t="shared" ca="1" si="4"/>
        <v>#REF!</v>
      </c>
      <c r="F88" s="20" t="e">
        <f ca="1">_2!E$31*G88+_2!F$31*H88</f>
        <v>#REF!</v>
      </c>
      <c r="G88" s="10" t="e">
        <f ca="1">IF(_2!E$43&gt;0,INDIRECT(ADDRESS(9,3,,,_2!E$38)),0)</f>
        <v>#REF!</v>
      </c>
      <c r="H88" s="230">
        <f ca="1">IF(_2!F$43&gt;0,INDIRECT(ADDRESS(9,3,,,_2!F$38)),0)</f>
        <v>0</v>
      </c>
      <c r="I88" s="20">
        <f ca="1">_2!H$31*J88+_2!I$31*K88</f>
        <v>0</v>
      </c>
      <c r="J88" s="10">
        <f ca="1">IF(_2!H$43&gt;0,INDIRECT(ADDRESS(9,3,,,_2!H$38)),0)</f>
        <v>0</v>
      </c>
      <c r="K88" s="230">
        <f ca="1">IF(_2!I$43&gt;0,INDIRECT(ADDRESS(9,3,,,_2!I$38)),0)</f>
        <v>0</v>
      </c>
      <c r="O88" s="24" t="e">
        <f t="shared" ca="1" si="3"/>
        <v>#REF!</v>
      </c>
      <c r="P88" s="23"/>
      <c r="Q88" s="23"/>
    </row>
    <row r="89" spans="1:17" ht="15.6" customHeight="1" x14ac:dyDescent="0.4">
      <c r="A89" s="58" t="s">
        <v>26</v>
      </c>
      <c r="B89" s="168" t="s">
        <v>192</v>
      </c>
      <c r="C89" s="259" t="s">
        <v>145</v>
      </c>
      <c r="D89" s="261">
        <v>10</v>
      </c>
      <c r="E89" s="3" t="e">
        <f t="shared" ca="1" si="4"/>
        <v>#REF!</v>
      </c>
      <c r="F89" s="20" t="e">
        <f ca="1">_2!E$31*G89+_2!F$31*H89</f>
        <v>#REF!</v>
      </c>
      <c r="G89" s="10" t="e">
        <f ca="1">IF(_2!E$43&gt;0,INDIRECT(ADDRESS(10,3,,,_2!E$38)),0)</f>
        <v>#REF!</v>
      </c>
      <c r="H89" s="230">
        <f ca="1">IF(_2!F$43&gt;0,INDIRECT(ADDRESS(10,3,,,_2!F$38)),0)</f>
        <v>0</v>
      </c>
      <c r="I89" s="20">
        <f ca="1">_2!H$31*J89+_2!I$31*K89</f>
        <v>0</v>
      </c>
      <c r="J89" s="10">
        <f ca="1">IF(_2!H$43&gt;0,INDIRECT(ADDRESS(10,3,,,_2!H$38)),0)</f>
        <v>0</v>
      </c>
      <c r="K89" s="230">
        <f ca="1">IF(_2!I$43&gt;0,INDIRECT(ADDRESS(10,3,,,_2!I$38)),0)</f>
        <v>0</v>
      </c>
      <c r="O89" s="24" t="e">
        <f t="shared" ca="1" si="3"/>
        <v>#REF!</v>
      </c>
      <c r="P89" s="23"/>
      <c r="Q89" s="23"/>
    </row>
    <row r="90" spans="1:17" ht="15.6" customHeight="1" x14ac:dyDescent="0.4">
      <c r="A90" s="58" t="s">
        <v>26</v>
      </c>
      <c r="B90" s="168" t="s">
        <v>192</v>
      </c>
      <c r="C90" s="259" t="s">
        <v>145</v>
      </c>
      <c r="D90" s="261">
        <v>12</v>
      </c>
      <c r="E90" s="3" t="e">
        <f t="shared" ca="1" si="4"/>
        <v>#REF!</v>
      </c>
      <c r="F90" s="20" t="e">
        <f ca="1">_2!E$31*G90+_2!F$31*H90</f>
        <v>#REF!</v>
      </c>
      <c r="G90" s="10" t="e">
        <f ca="1">IF(_2!E$43&gt;0,INDIRECT(ADDRESS(11,3,,,_2!E$38)),0)</f>
        <v>#REF!</v>
      </c>
      <c r="H90" s="230">
        <f ca="1">IF(_2!F$43&gt;0,INDIRECT(ADDRESS(11,3,,,_2!F$38)),0)</f>
        <v>0</v>
      </c>
      <c r="I90" s="20">
        <f ca="1">_2!H$31*J90+_2!I$31*K90</f>
        <v>0</v>
      </c>
      <c r="J90" s="10">
        <f ca="1">IF(_2!H$43&gt;0,INDIRECT(ADDRESS(11,3,,,_2!H$38)),0)</f>
        <v>0</v>
      </c>
      <c r="K90" s="230">
        <f ca="1">IF(_2!I$43&gt;0,INDIRECT(ADDRESS(11,3,,,_2!I$38)),0)</f>
        <v>0</v>
      </c>
      <c r="O90" s="24" t="e">
        <f t="shared" ca="1" si="3"/>
        <v>#REF!</v>
      </c>
      <c r="P90" s="23"/>
      <c r="Q90" s="23"/>
    </row>
    <row r="91" spans="1:17" ht="15.6" customHeight="1" x14ac:dyDescent="0.4">
      <c r="A91" s="58" t="s">
        <v>26</v>
      </c>
      <c r="B91" s="168" t="s">
        <v>192</v>
      </c>
      <c r="C91" s="259" t="s">
        <v>145</v>
      </c>
      <c r="D91" s="261">
        <v>14</v>
      </c>
      <c r="E91" s="3" t="e">
        <f t="shared" ca="1" si="4"/>
        <v>#REF!</v>
      </c>
      <c r="F91" s="20" t="e">
        <f ca="1">_2!E$31*G91+_2!F$31*H91</f>
        <v>#REF!</v>
      </c>
      <c r="G91" s="10" t="e">
        <f ca="1">IF(_2!E$43&gt;0,INDIRECT(ADDRESS(12,3,,,_2!E$38)),0)</f>
        <v>#REF!</v>
      </c>
      <c r="H91" s="230">
        <f ca="1">IF(_2!F$43&gt;0,INDIRECT(ADDRESS(12,3,,,_2!F$38)),0)</f>
        <v>0</v>
      </c>
      <c r="I91" s="20">
        <f ca="1">_2!H$31*J91+_2!I$31*K91</f>
        <v>0</v>
      </c>
      <c r="J91" s="10">
        <f ca="1">IF(_2!H$43&gt;0,INDIRECT(ADDRESS(12,3,,,_2!H$38)),0)</f>
        <v>0</v>
      </c>
      <c r="K91" s="230">
        <f ca="1">IF(_2!I$43&gt;0,INDIRECT(ADDRESS(12,3,,,_2!I$38)),0)</f>
        <v>0</v>
      </c>
      <c r="O91" s="24" t="e">
        <f t="shared" ca="1" si="3"/>
        <v>#REF!</v>
      </c>
      <c r="P91" s="23"/>
      <c r="Q91" s="23"/>
    </row>
    <row r="92" spans="1:17" ht="15.6" customHeight="1" x14ac:dyDescent="0.4">
      <c r="A92" s="58" t="s">
        <v>26</v>
      </c>
      <c r="B92" s="168" t="s">
        <v>192</v>
      </c>
      <c r="C92" s="259" t="s">
        <v>145</v>
      </c>
      <c r="D92" s="261">
        <v>16</v>
      </c>
      <c r="E92" s="3" t="e">
        <f t="shared" ca="1" si="4"/>
        <v>#REF!</v>
      </c>
      <c r="F92" s="20" t="e">
        <f ca="1">_2!E$31*G92+_2!F$31*H92</f>
        <v>#REF!</v>
      </c>
      <c r="G92" s="10" t="e">
        <f ca="1">IF(_2!E$43&gt;0,INDIRECT(ADDRESS(13,3,,,_2!E$38)),0)</f>
        <v>#REF!</v>
      </c>
      <c r="H92" s="230">
        <f ca="1">IF(_2!F$43&gt;0,INDIRECT(ADDRESS(13,3,,,_2!F$38)),0)</f>
        <v>0</v>
      </c>
      <c r="I92" s="20">
        <f ca="1">_2!H$31*J92+_2!I$31*K92</f>
        <v>0</v>
      </c>
      <c r="J92" s="10">
        <f ca="1">IF(_2!H$43&gt;0,INDIRECT(ADDRESS(13,3,,,_2!H$38)),0)</f>
        <v>0</v>
      </c>
      <c r="K92" s="230">
        <f ca="1">IF(_2!I$43&gt;0,INDIRECT(ADDRESS(13,3,,,_2!I$38)),0)</f>
        <v>0</v>
      </c>
      <c r="O92" s="24" t="e">
        <f t="shared" ca="1" si="3"/>
        <v>#REF!</v>
      </c>
      <c r="P92" s="23"/>
      <c r="Q92" s="23"/>
    </row>
    <row r="93" spans="1:17" ht="15.6" customHeight="1" x14ac:dyDescent="0.4">
      <c r="A93" s="58" t="s">
        <v>26</v>
      </c>
      <c r="B93" s="168" t="s">
        <v>192</v>
      </c>
      <c r="C93" s="259" t="s">
        <v>145</v>
      </c>
      <c r="D93" s="261">
        <v>18</v>
      </c>
      <c r="E93" s="3" t="e">
        <f t="shared" ca="1" si="4"/>
        <v>#REF!</v>
      </c>
      <c r="F93" s="20" t="e">
        <f ca="1">_2!E$31*G93+_2!F$31*H93</f>
        <v>#REF!</v>
      </c>
      <c r="G93" s="10" t="e">
        <f ca="1">IF(_2!E$43&gt;0,INDIRECT(ADDRESS(14,3,,,_2!E$38)),0)</f>
        <v>#REF!</v>
      </c>
      <c r="H93" s="230">
        <f ca="1">IF(_2!F$43&gt;0,INDIRECT(ADDRESS(14,3,,,_2!F$38)),0)</f>
        <v>0</v>
      </c>
      <c r="I93" s="20">
        <f ca="1">_2!H$31*J93+_2!I$31*K93</f>
        <v>0</v>
      </c>
      <c r="J93" s="10">
        <f ca="1">IF(_2!H$43&gt;0,INDIRECT(ADDRESS(14,3,,,_2!H$38)),0)</f>
        <v>0</v>
      </c>
      <c r="K93" s="230">
        <f ca="1">IF(_2!I$43&gt;0,INDIRECT(ADDRESS(14,3,,,_2!I$38)),0)</f>
        <v>0</v>
      </c>
      <c r="O93" s="24" t="e">
        <f t="shared" ca="1" si="3"/>
        <v>#REF!</v>
      </c>
      <c r="P93" s="23"/>
      <c r="Q93" s="23"/>
    </row>
    <row r="94" spans="1:17" ht="15.6" customHeight="1" x14ac:dyDescent="0.4">
      <c r="A94" s="58" t="s">
        <v>26</v>
      </c>
      <c r="B94" s="168" t="s">
        <v>192</v>
      </c>
      <c r="C94" s="259" t="s">
        <v>145</v>
      </c>
      <c r="D94" s="261">
        <v>20</v>
      </c>
      <c r="E94" s="3" t="e">
        <f t="shared" ca="1" si="4"/>
        <v>#REF!</v>
      </c>
      <c r="F94" s="20" t="e">
        <f ca="1">_2!E$31*G94+_2!F$31*H94</f>
        <v>#REF!</v>
      </c>
      <c r="G94" s="10" t="e">
        <f ca="1">IF(_2!E$43&gt;0,INDIRECT(ADDRESS(15,3,,,_2!E$38)),0)</f>
        <v>#REF!</v>
      </c>
      <c r="H94" s="230">
        <f ca="1">IF(_2!F$43&gt;0,INDIRECT(ADDRESS(15,3,,,_2!F$38)),0)</f>
        <v>0</v>
      </c>
      <c r="I94" s="20">
        <f ca="1">_2!H$31*J94+_2!I$31*K94</f>
        <v>0</v>
      </c>
      <c r="J94" s="10">
        <f ca="1">IF(_2!H$43&gt;0,INDIRECT(ADDRESS(15,3,,,_2!H$38)),0)</f>
        <v>0</v>
      </c>
      <c r="K94" s="230">
        <f ca="1">IF(_2!I$43&gt;0,INDIRECT(ADDRESS(15,3,,,_2!I$38)),0)</f>
        <v>0</v>
      </c>
      <c r="O94" s="24" t="e">
        <f t="shared" ca="1" si="3"/>
        <v>#REF!</v>
      </c>
      <c r="P94" s="23"/>
      <c r="Q94" s="23"/>
    </row>
    <row r="95" spans="1:17" ht="15.6" customHeight="1" x14ac:dyDescent="0.4">
      <c r="A95" s="58" t="s">
        <v>26</v>
      </c>
      <c r="B95" s="168" t="s">
        <v>192</v>
      </c>
      <c r="C95" s="259" t="s">
        <v>145</v>
      </c>
      <c r="D95" s="261">
        <v>22</v>
      </c>
      <c r="E95" s="3" t="e">
        <f t="shared" ca="1" si="4"/>
        <v>#REF!</v>
      </c>
      <c r="F95" s="20" t="e">
        <f ca="1">_2!E$31*G95+_2!F$31*H95</f>
        <v>#REF!</v>
      </c>
      <c r="G95" s="10" t="e">
        <f ca="1">IF(_2!E$43&gt;0,INDIRECT(ADDRESS(16,3,,,_2!E$38)),0)</f>
        <v>#REF!</v>
      </c>
      <c r="H95" s="230">
        <f ca="1">IF(_2!F$43&gt;0,INDIRECT(ADDRESS(16,3,,,_2!F$38)),0)</f>
        <v>0</v>
      </c>
      <c r="I95" s="20">
        <f ca="1">_2!H$31*J95+_2!I$31*K95</f>
        <v>0</v>
      </c>
      <c r="J95" s="10">
        <f ca="1">IF(_2!H$43&gt;0,INDIRECT(ADDRESS(16,3,,,_2!H$38)),0)</f>
        <v>0</v>
      </c>
      <c r="K95" s="230">
        <f ca="1">IF(_2!I$43&gt;0,INDIRECT(ADDRESS(16,3,,,_2!I$38)),0)</f>
        <v>0</v>
      </c>
      <c r="O95" s="24" t="e">
        <f t="shared" ca="1" si="3"/>
        <v>#REF!</v>
      </c>
      <c r="P95" s="23"/>
      <c r="Q95" s="23"/>
    </row>
    <row r="96" spans="1:17" ht="15.6" customHeight="1" x14ac:dyDescent="0.4">
      <c r="A96" s="58" t="s">
        <v>26</v>
      </c>
      <c r="B96" s="168" t="s">
        <v>192</v>
      </c>
      <c r="C96" s="259" t="s">
        <v>145</v>
      </c>
      <c r="D96" s="261">
        <v>25</v>
      </c>
      <c r="E96" s="3" t="e">
        <f t="shared" ca="1" si="4"/>
        <v>#REF!</v>
      </c>
      <c r="F96" s="20" t="e">
        <f ca="1">_2!E$31*G96+_2!F$31*H96</f>
        <v>#REF!</v>
      </c>
      <c r="G96" s="10" t="e">
        <f ca="1">IF(_2!E$43&gt;0,INDIRECT(ADDRESS(17,3,,,_2!E$38)),0)</f>
        <v>#REF!</v>
      </c>
      <c r="H96" s="230">
        <f ca="1">IF(_2!F$43&gt;0,INDIRECT(ADDRESS(17,3,,,_2!F$38)),0)</f>
        <v>0</v>
      </c>
      <c r="I96" s="20">
        <f ca="1">_2!H$31*J96+_2!I$31*K96</f>
        <v>0</v>
      </c>
      <c r="J96" s="10">
        <f ca="1">IF(_2!H$43&gt;0,INDIRECT(ADDRESS(17,3,,,_2!H$38)),0)</f>
        <v>0</v>
      </c>
      <c r="K96" s="230">
        <f ca="1">IF(_2!I$43&gt;0,INDIRECT(ADDRESS(17,3,,,_2!I$38)),0)</f>
        <v>0</v>
      </c>
      <c r="O96" s="24" t="e">
        <f t="shared" ca="1" si="3"/>
        <v>#REF!</v>
      </c>
      <c r="P96" s="23"/>
      <c r="Q96" s="23"/>
    </row>
    <row r="97" spans="1:17" ht="15.6" customHeight="1" x14ac:dyDescent="0.4">
      <c r="A97" s="58" t="s">
        <v>26</v>
      </c>
      <c r="B97" s="168" t="s">
        <v>192</v>
      </c>
      <c r="C97" s="259" t="s">
        <v>145</v>
      </c>
      <c r="D97" s="261">
        <v>28</v>
      </c>
      <c r="E97" s="3" t="e">
        <f t="shared" ca="1" si="4"/>
        <v>#REF!</v>
      </c>
      <c r="F97" s="20" t="e">
        <f ca="1">_2!E$31*G97+_2!F$31*H97</f>
        <v>#REF!</v>
      </c>
      <c r="G97" s="10" t="e">
        <f ca="1">IF(_2!E$43&gt;0,INDIRECT(ADDRESS(18,3,,,_2!E$38)),0)</f>
        <v>#REF!</v>
      </c>
      <c r="H97" s="230">
        <f ca="1">IF(_2!F$43&gt;0,INDIRECT(ADDRESS(18,3,,,_2!F$38)),0)</f>
        <v>0</v>
      </c>
      <c r="I97" s="20">
        <f ca="1">_2!H$31*J97+_2!I$31*K97</f>
        <v>0</v>
      </c>
      <c r="J97" s="10">
        <f ca="1">IF(_2!H$43&gt;0,INDIRECT(ADDRESS(18,3,,,_2!H$38)),0)</f>
        <v>0</v>
      </c>
      <c r="K97" s="230">
        <f ca="1">IF(_2!I$43&gt;0,INDIRECT(ADDRESS(18,3,,,_2!I$38)),0)</f>
        <v>0</v>
      </c>
      <c r="O97" s="24" t="e">
        <f t="shared" ca="1" si="3"/>
        <v>#REF!</v>
      </c>
      <c r="P97" s="23"/>
      <c r="Q97" s="23"/>
    </row>
    <row r="98" spans="1:17" ht="15.6" customHeight="1" x14ac:dyDescent="0.4">
      <c r="A98" s="58" t="s">
        <v>26</v>
      </c>
      <c r="B98" s="168" t="s">
        <v>192</v>
      </c>
      <c r="C98" s="259" t="s">
        <v>145</v>
      </c>
      <c r="D98" s="261">
        <v>32</v>
      </c>
      <c r="E98" s="3" t="e">
        <f t="shared" ca="1" si="4"/>
        <v>#REF!</v>
      </c>
      <c r="F98" s="20" t="e">
        <f ca="1">_2!E$31*G98+_2!F$31*H98</f>
        <v>#REF!</v>
      </c>
      <c r="G98" s="10" t="e">
        <f ca="1">IF(_2!E$43&gt;0,INDIRECT(ADDRESS(19,3,,,_2!E$38)),0)</f>
        <v>#REF!</v>
      </c>
      <c r="H98" s="230">
        <f ca="1">IF(_2!F$43&gt;0,INDIRECT(ADDRESS(19,3,,,_2!F$38)),0)</f>
        <v>0</v>
      </c>
      <c r="I98" s="20">
        <f ca="1">_2!H$31*J98+_2!I$31*K98</f>
        <v>0</v>
      </c>
      <c r="J98" s="10">
        <f ca="1">IF(_2!H$43&gt;0,INDIRECT(ADDRESS(19,3,,,_2!H$38)),0)</f>
        <v>0</v>
      </c>
      <c r="K98" s="230">
        <f ca="1">IF(_2!I$43&gt;0,INDIRECT(ADDRESS(19,3,,,_2!I$38)),0)</f>
        <v>0</v>
      </c>
      <c r="O98" s="24" t="e">
        <f t="shared" ca="1" si="3"/>
        <v>#REF!</v>
      </c>
      <c r="P98" s="23"/>
      <c r="Q98" s="23"/>
    </row>
    <row r="99" spans="1:17" ht="15.6" customHeight="1" x14ac:dyDescent="0.4">
      <c r="A99" s="58" t="s">
        <v>26</v>
      </c>
      <c r="B99" s="168" t="s">
        <v>192</v>
      </c>
      <c r="C99" s="259" t="s">
        <v>145</v>
      </c>
      <c r="D99" s="261">
        <v>36</v>
      </c>
      <c r="E99" s="3" t="e">
        <f t="shared" ca="1" si="4"/>
        <v>#REF!</v>
      </c>
      <c r="F99" s="20" t="e">
        <f ca="1">_2!E$31*G99+_2!F$31*H99</f>
        <v>#REF!</v>
      </c>
      <c r="G99" s="10" t="e">
        <f ca="1">IF(_2!E$43&gt;0,INDIRECT(ADDRESS(20,3,,,_2!E$38)),0)</f>
        <v>#REF!</v>
      </c>
      <c r="H99" s="230">
        <f ca="1">IF(_2!F$43&gt;0,INDIRECT(ADDRESS(20,3,,,_2!F$38)),0)</f>
        <v>0</v>
      </c>
      <c r="I99" s="20">
        <f ca="1">_2!H$31*J99+_2!I$31*K99</f>
        <v>0</v>
      </c>
      <c r="J99" s="10">
        <f ca="1">IF(_2!H$43&gt;0,INDIRECT(ADDRESS(20,3,,,_2!H$38)),0)</f>
        <v>0</v>
      </c>
      <c r="K99" s="230">
        <f ca="1">IF(_2!I$43&gt;0,INDIRECT(ADDRESS(20,3,,,_2!I$38)),0)</f>
        <v>0</v>
      </c>
      <c r="O99" s="24" t="e">
        <f t="shared" ca="1" si="3"/>
        <v>#REF!</v>
      </c>
      <c r="P99" s="23"/>
      <c r="Q99" s="23"/>
    </row>
    <row r="100" spans="1:17" ht="15.6" customHeight="1" x14ac:dyDescent="0.4">
      <c r="A100" s="58" t="s">
        <v>26</v>
      </c>
      <c r="B100" s="168" t="s">
        <v>192</v>
      </c>
      <c r="C100" s="259" t="s">
        <v>145</v>
      </c>
      <c r="D100" s="261">
        <v>40</v>
      </c>
      <c r="E100" s="3" t="e">
        <f t="shared" ca="1" si="4"/>
        <v>#REF!</v>
      </c>
      <c r="F100" s="20" t="e">
        <f ca="1">_2!E$31*G100+_2!F$31*H100</f>
        <v>#REF!</v>
      </c>
      <c r="G100" s="10" t="e">
        <f ca="1">IF(_2!E$43&gt;0,INDIRECT(ADDRESS(21,3,,,_2!E$38)),0)</f>
        <v>#REF!</v>
      </c>
      <c r="H100" s="230">
        <f ca="1">IF(_2!F$43&gt;0,INDIRECT(ADDRESS(21,3,,,_2!F$38)),0)</f>
        <v>0</v>
      </c>
      <c r="I100" s="20">
        <f ca="1">_2!H$31*J100+_2!I$31*K100</f>
        <v>0</v>
      </c>
      <c r="J100" s="10">
        <f ca="1">IF(_2!H$43&gt;0,INDIRECT(ADDRESS(21,3,,,_2!H$38)),0)</f>
        <v>0</v>
      </c>
      <c r="K100" s="230">
        <f ca="1">IF(_2!I$43&gt;0,INDIRECT(ADDRESS(21,3,,,_2!I$38)),0)</f>
        <v>0</v>
      </c>
      <c r="O100" s="24" t="e">
        <f t="shared" ca="1" si="3"/>
        <v>#REF!</v>
      </c>
      <c r="P100" s="23"/>
      <c r="Q100" s="23"/>
    </row>
    <row r="101" spans="1:17" ht="15.6" customHeight="1" x14ac:dyDescent="0.4">
      <c r="A101" s="58" t="s">
        <v>26</v>
      </c>
      <c r="B101" s="170" t="s">
        <v>193</v>
      </c>
      <c r="C101" s="259" t="s">
        <v>145</v>
      </c>
      <c r="D101" s="261">
        <v>6</v>
      </c>
      <c r="E101" s="3" t="e">
        <f t="shared" ca="1" si="4"/>
        <v>#REF!</v>
      </c>
      <c r="F101" s="20" t="e">
        <f ca="1">_2!E$31*G101+_2!F$31*H101</f>
        <v>#REF!</v>
      </c>
      <c r="G101" s="10" t="e">
        <f ca="1">IF(_2!E$43&gt;0,INDIRECT(ADDRESS(8,2,,,_2!E$38)),0)</f>
        <v>#REF!</v>
      </c>
      <c r="H101" s="230">
        <f ca="1">IF(_2!F$43&gt;0,INDIRECT(ADDRESS(8,2,,,_2!F$38)),0)</f>
        <v>0</v>
      </c>
      <c r="I101" s="20">
        <f ca="1">_2!H$31*J101+_2!I$31*K101</f>
        <v>0</v>
      </c>
      <c r="J101" s="10">
        <f ca="1">IF(_2!H$43&gt;0,INDIRECT(ADDRESS(8,2,,,_2!H$38)),0)</f>
        <v>0</v>
      </c>
      <c r="K101" s="230">
        <f ca="1">IF(_2!I$43&gt;0,INDIRECT(ADDRESS(8,2,,,_2!I$38)),0)</f>
        <v>0</v>
      </c>
      <c r="O101" s="24" t="e">
        <f t="shared" ca="1" si="3"/>
        <v>#REF!</v>
      </c>
      <c r="P101" s="23"/>
      <c r="Q101" s="23"/>
    </row>
    <row r="102" spans="1:17" ht="15.6" customHeight="1" x14ac:dyDescent="0.4">
      <c r="A102" s="58" t="s">
        <v>26</v>
      </c>
      <c r="B102" s="170" t="s">
        <v>193</v>
      </c>
      <c r="C102" s="259" t="s">
        <v>145</v>
      </c>
      <c r="D102" s="261">
        <v>8</v>
      </c>
      <c r="E102" s="3" t="e">
        <f t="shared" ca="1" si="4"/>
        <v>#REF!</v>
      </c>
      <c r="F102" s="20" t="e">
        <f ca="1">_2!E$31*G102+_2!F$31*H102</f>
        <v>#REF!</v>
      </c>
      <c r="G102" s="10" t="e">
        <f ca="1">IF(_2!E$43&gt;0,INDIRECT(ADDRESS(9,2,,,_2!E$38)),0)</f>
        <v>#REF!</v>
      </c>
      <c r="H102" s="230">
        <f ca="1">IF(_2!F$43&gt;0,INDIRECT(ADDRESS(9,2,,,_2!F$38)),0)</f>
        <v>0</v>
      </c>
      <c r="I102" s="20">
        <f ca="1">_2!H$31*J102+_2!I$31*K102</f>
        <v>0</v>
      </c>
      <c r="J102" s="10">
        <f ca="1">IF(_2!H$43&gt;0,INDIRECT(ADDRESS(9,2,,,_2!H$38)),0)</f>
        <v>0</v>
      </c>
      <c r="K102" s="230">
        <f ca="1">IF(_2!I$43&gt;0,INDIRECT(ADDRESS(9,2,,,_2!I$38)),0)</f>
        <v>0</v>
      </c>
      <c r="O102" s="24" t="e">
        <f t="shared" ca="1" si="3"/>
        <v>#REF!</v>
      </c>
      <c r="P102" s="23"/>
      <c r="Q102" s="23"/>
    </row>
    <row r="103" spans="1:17" ht="15.6" customHeight="1" x14ac:dyDescent="0.4">
      <c r="A103" s="58" t="s">
        <v>26</v>
      </c>
      <c r="B103" s="170" t="s">
        <v>193</v>
      </c>
      <c r="C103" s="259" t="s">
        <v>145</v>
      </c>
      <c r="D103" s="261">
        <v>10</v>
      </c>
      <c r="E103" s="3" t="e">
        <f t="shared" ca="1" si="4"/>
        <v>#REF!</v>
      </c>
      <c r="F103" s="20" t="e">
        <f ca="1">_2!E$31*G103+_2!F$31*H103</f>
        <v>#REF!</v>
      </c>
      <c r="G103" s="10" t="e">
        <f ca="1">IF(_2!E$43&gt;0,INDIRECT(ADDRESS(10,2,,,_2!E$38)),0)</f>
        <v>#REF!</v>
      </c>
      <c r="H103" s="230">
        <f ca="1">IF(_2!F$43&gt;0,INDIRECT(ADDRESS(10,2,,,_2!F$38)),0)</f>
        <v>0</v>
      </c>
      <c r="I103" s="20">
        <f ca="1">_2!H$31*J103+_2!I$31*K103</f>
        <v>0</v>
      </c>
      <c r="J103" s="10">
        <f ca="1">IF(_2!H$43&gt;0,INDIRECT(ADDRESS(10,2,,,_2!H$38)),0)</f>
        <v>0</v>
      </c>
      <c r="K103" s="230">
        <f ca="1">IF(_2!I$43&gt;0,INDIRECT(ADDRESS(10,2,,,_2!I$38)),0)</f>
        <v>0</v>
      </c>
      <c r="O103" s="24" t="e">
        <f t="shared" ca="1" si="3"/>
        <v>#REF!</v>
      </c>
      <c r="P103" s="23"/>
      <c r="Q103" s="23"/>
    </row>
    <row r="104" spans="1:17" ht="15.6" customHeight="1" x14ac:dyDescent="0.4">
      <c r="A104" s="58" t="s">
        <v>26</v>
      </c>
      <c r="B104" s="170" t="s">
        <v>193</v>
      </c>
      <c r="C104" s="259" t="s">
        <v>145</v>
      </c>
      <c r="D104" s="261">
        <v>12</v>
      </c>
      <c r="E104" s="3" t="e">
        <f t="shared" ca="1" si="4"/>
        <v>#REF!</v>
      </c>
      <c r="F104" s="20" t="e">
        <f ca="1">_2!E$31*G104+_2!F$31*H104</f>
        <v>#REF!</v>
      </c>
      <c r="G104" s="10" t="e">
        <f ca="1">IF(_2!E$43&gt;0,INDIRECT(ADDRESS(11,2,,,_2!E$38)),0)</f>
        <v>#REF!</v>
      </c>
      <c r="H104" s="230">
        <f ca="1">IF(_2!F$43&gt;0,INDIRECT(ADDRESS(11,2,,,_2!F$38)),0)</f>
        <v>0</v>
      </c>
      <c r="I104" s="20">
        <f ca="1">_2!H$31*J104+_2!I$31*K104</f>
        <v>0</v>
      </c>
      <c r="J104" s="10">
        <f ca="1">IF(_2!H$43&gt;0,INDIRECT(ADDRESS(11,2,,,_2!H$38)),0)</f>
        <v>0</v>
      </c>
      <c r="K104" s="230">
        <f ca="1">IF(_2!I$43&gt;0,INDIRECT(ADDRESS(11,2,,,_2!I$38)),0)</f>
        <v>0</v>
      </c>
      <c r="O104" s="24" t="e">
        <f t="shared" ca="1" si="3"/>
        <v>#REF!</v>
      </c>
      <c r="P104" s="23"/>
      <c r="Q104" s="23"/>
    </row>
    <row r="105" spans="1:17" ht="15.6" customHeight="1" x14ac:dyDescent="0.4">
      <c r="A105" s="58" t="s">
        <v>26</v>
      </c>
      <c r="B105" s="170" t="s">
        <v>193</v>
      </c>
      <c r="C105" s="259" t="s">
        <v>145</v>
      </c>
      <c r="D105" s="261">
        <v>14</v>
      </c>
      <c r="E105" s="3" t="e">
        <f t="shared" ca="1" si="4"/>
        <v>#REF!</v>
      </c>
      <c r="F105" s="20" t="e">
        <f ca="1">_2!E$31*G105+_2!F$31*H105</f>
        <v>#REF!</v>
      </c>
      <c r="G105" s="10" t="e">
        <f ca="1">IF(_2!E$43&gt;0,INDIRECT(ADDRESS(12,2,,,_2!E$38)),0)</f>
        <v>#REF!</v>
      </c>
      <c r="H105" s="230">
        <f ca="1">IF(_2!F$43&gt;0,INDIRECT(ADDRESS(12,2,,,_2!F$38)),0)</f>
        <v>0</v>
      </c>
      <c r="I105" s="20">
        <f ca="1">_2!H$31*J105+_2!I$31*K105</f>
        <v>0</v>
      </c>
      <c r="J105" s="10">
        <f ca="1">IF(_2!H$43&gt;0,INDIRECT(ADDRESS(12,2,,,_2!H$38)),0)</f>
        <v>0</v>
      </c>
      <c r="K105" s="230">
        <f ca="1">IF(_2!I$43&gt;0,INDIRECT(ADDRESS(12,2,,,_2!I$38)),0)</f>
        <v>0</v>
      </c>
      <c r="O105" s="24" t="e">
        <f t="shared" ca="1" si="3"/>
        <v>#REF!</v>
      </c>
      <c r="P105" s="23"/>
      <c r="Q105" s="23"/>
    </row>
    <row r="106" spans="1:17" ht="15.6" customHeight="1" x14ac:dyDescent="0.4">
      <c r="A106" s="58" t="s">
        <v>26</v>
      </c>
      <c r="B106" s="170" t="s">
        <v>193</v>
      </c>
      <c r="C106" s="259" t="s">
        <v>145</v>
      </c>
      <c r="D106" s="261">
        <v>16</v>
      </c>
      <c r="E106" s="3" t="e">
        <f t="shared" ca="1" si="4"/>
        <v>#REF!</v>
      </c>
      <c r="F106" s="20" t="e">
        <f ca="1">_2!E$31*G106+_2!F$31*H106</f>
        <v>#REF!</v>
      </c>
      <c r="G106" s="10" t="e">
        <f ca="1">IF(_2!E$43&gt;0,INDIRECT(ADDRESS(13,2,,,_2!E$38)),0)</f>
        <v>#REF!</v>
      </c>
      <c r="H106" s="230">
        <f ca="1">IF(_2!F$43&gt;0,INDIRECT(ADDRESS(13,2,,,_2!F$38)),0)</f>
        <v>0</v>
      </c>
      <c r="I106" s="20">
        <f ca="1">_2!H$31*J106+_2!I$31*K106</f>
        <v>0</v>
      </c>
      <c r="J106" s="10">
        <f ca="1">IF(_2!H$43&gt;0,INDIRECT(ADDRESS(13,2,,,_2!H$38)),0)</f>
        <v>0</v>
      </c>
      <c r="K106" s="230">
        <f ca="1">IF(_2!I$43&gt;0,INDIRECT(ADDRESS(13,2,,,_2!I$38)),0)</f>
        <v>0</v>
      </c>
      <c r="O106" s="24" t="e">
        <f t="shared" ca="1" si="3"/>
        <v>#REF!</v>
      </c>
      <c r="P106" s="23"/>
      <c r="Q106" s="23"/>
    </row>
    <row r="107" spans="1:17" ht="15.6" customHeight="1" x14ac:dyDescent="0.4">
      <c r="A107" s="58" t="s">
        <v>26</v>
      </c>
      <c r="B107" s="170" t="s">
        <v>193</v>
      </c>
      <c r="C107" s="259" t="s">
        <v>145</v>
      </c>
      <c r="D107" s="261">
        <v>18</v>
      </c>
      <c r="E107" s="3" t="e">
        <f t="shared" ca="1" si="4"/>
        <v>#REF!</v>
      </c>
      <c r="F107" s="20" t="e">
        <f ca="1">_2!E$31*G107+_2!F$31*H107</f>
        <v>#REF!</v>
      </c>
      <c r="G107" s="10" t="e">
        <f ca="1">IF(_2!E$43&gt;0,INDIRECT(ADDRESS(14,2,,,_2!E$38)),0)</f>
        <v>#REF!</v>
      </c>
      <c r="H107" s="230">
        <f ca="1">IF(_2!F$43&gt;0,INDIRECT(ADDRESS(14,2,,,_2!F$38)),0)</f>
        <v>0</v>
      </c>
      <c r="I107" s="20">
        <f ca="1">_2!H$31*J107+_2!I$31*K107</f>
        <v>0</v>
      </c>
      <c r="J107" s="10">
        <f ca="1">IF(_2!H$43&gt;0,INDIRECT(ADDRESS(14,2,,,_2!H$38)),0)</f>
        <v>0</v>
      </c>
      <c r="K107" s="230">
        <f ca="1">IF(_2!I$43&gt;0,INDIRECT(ADDRESS(14,2,,,_2!I$38)),0)</f>
        <v>0</v>
      </c>
      <c r="O107" s="24" t="e">
        <f t="shared" ca="1" si="3"/>
        <v>#REF!</v>
      </c>
      <c r="P107" s="23"/>
      <c r="Q107" s="23"/>
    </row>
    <row r="108" spans="1:17" ht="15.6" customHeight="1" x14ac:dyDescent="0.4">
      <c r="A108" s="58" t="s">
        <v>26</v>
      </c>
      <c r="B108" s="170" t="s">
        <v>193</v>
      </c>
      <c r="C108" s="259" t="s">
        <v>145</v>
      </c>
      <c r="D108" s="261">
        <v>20</v>
      </c>
      <c r="E108" s="3" t="e">
        <f t="shared" ca="1" si="4"/>
        <v>#REF!</v>
      </c>
      <c r="F108" s="20" t="e">
        <f ca="1">_2!E$31*G108+_2!F$31*H108</f>
        <v>#REF!</v>
      </c>
      <c r="G108" s="10" t="e">
        <f ca="1">IF(_2!E$43&gt;0,INDIRECT(ADDRESS(15,2,,,_2!E$38)),0)</f>
        <v>#REF!</v>
      </c>
      <c r="H108" s="230">
        <f ca="1">IF(_2!F$43&gt;0,INDIRECT(ADDRESS(15,2,,,_2!F$38)),0)</f>
        <v>0</v>
      </c>
      <c r="I108" s="20">
        <f ca="1">_2!H$31*J108+_2!I$31*K108</f>
        <v>0</v>
      </c>
      <c r="J108" s="10">
        <f ca="1">IF(_2!H$43&gt;0,INDIRECT(ADDRESS(15,2,,,_2!H$38)),0)</f>
        <v>0</v>
      </c>
      <c r="K108" s="230">
        <f ca="1">IF(_2!I$43&gt;0,INDIRECT(ADDRESS(15,2,,,_2!I$38)),0)</f>
        <v>0</v>
      </c>
      <c r="O108" s="24" t="e">
        <f t="shared" ca="1" si="3"/>
        <v>#REF!</v>
      </c>
      <c r="P108" s="23"/>
      <c r="Q108" s="23"/>
    </row>
    <row r="109" spans="1:17" ht="15.6" customHeight="1" x14ac:dyDescent="0.4">
      <c r="A109" s="58" t="s">
        <v>26</v>
      </c>
      <c r="B109" s="170" t="s">
        <v>193</v>
      </c>
      <c r="C109" s="259" t="s">
        <v>145</v>
      </c>
      <c r="D109" s="261">
        <v>22</v>
      </c>
      <c r="E109" s="3" t="e">
        <f t="shared" ca="1" si="4"/>
        <v>#REF!</v>
      </c>
      <c r="F109" s="20" t="e">
        <f ca="1">_2!E$31*G109+_2!F$31*H109</f>
        <v>#REF!</v>
      </c>
      <c r="G109" s="10" t="e">
        <f ca="1">IF(_2!E$43&gt;0,INDIRECT(ADDRESS(16,2,,,_2!E$38)),0)</f>
        <v>#REF!</v>
      </c>
      <c r="H109" s="230">
        <f ca="1">IF(_2!F$43&gt;0,INDIRECT(ADDRESS(16,2,,,_2!F$38)),0)</f>
        <v>0</v>
      </c>
      <c r="I109" s="20">
        <f ca="1">_2!H$31*J109+_2!I$31*K109</f>
        <v>0</v>
      </c>
      <c r="J109" s="10">
        <f ca="1">IF(_2!H$43&gt;0,INDIRECT(ADDRESS(16,2,,,_2!H$38)),0)</f>
        <v>0</v>
      </c>
      <c r="K109" s="230">
        <f ca="1">IF(_2!I$43&gt;0,INDIRECT(ADDRESS(16,2,,,_2!I$38)),0)</f>
        <v>0</v>
      </c>
      <c r="O109" s="24" t="e">
        <f t="shared" ca="1" si="3"/>
        <v>#REF!</v>
      </c>
      <c r="P109" s="23"/>
      <c r="Q109" s="23"/>
    </row>
    <row r="110" spans="1:17" ht="15.6" customHeight="1" x14ac:dyDescent="0.4">
      <c r="A110" s="58" t="s">
        <v>26</v>
      </c>
      <c r="B110" s="170" t="s">
        <v>193</v>
      </c>
      <c r="C110" s="259" t="s">
        <v>145</v>
      </c>
      <c r="D110" s="261">
        <v>25</v>
      </c>
      <c r="E110" s="3" t="e">
        <f t="shared" ca="1" si="4"/>
        <v>#REF!</v>
      </c>
      <c r="F110" s="20" t="e">
        <f ca="1">_2!E$31*G110+_2!F$31*H110</f>
        <v>#REF!</v>
      </c>
      <c r="G110" s="10" t="e">
        <f ca="1">IF(_2!E$43&gt;0,INDIRECT(ADDRESS(17,2,,,_2!E$38)),0)</f>
        <v>#REF!</v>
      </c>
      <c r="H110" s="230">
        <f ca="1">IF(_2!F$43&gt;0,INDIRECT(ADDRESS(17,2,,,_2!F$38)),0)</f>
        <v>0</v>
      </c>
      <c r="I110" s="20">
        <f ca="1">_2!H$31*J110+_2!I$31*K110</f>
        <v>0</v>
      </c>
      <c r="J110" s="10">
        <f ca="1">IF(_2!H$43&gt;0,INDIRECT(ADDRESS(17,2,,,_2!H$38)),0)</f>
        <v>0</v>
      </c>
      <c r="K110" s="230">
        <f ca="1">IF(_2!I$43&gt;0,INDIRECT(ADDRESS(17,2,,,_2!I$38)),0)</f>
        <v>0</v>
      </c>
      <c r="O110" s="24" t="e">
        <f t="shared" ca="1" si="3"/>
        <v>#REF!</v>
      </c>
      <c r="P110" s="23"/>
      <c r="Q110" s="23"/>
    </row>
    <row r="111" spans="1:17" ht="15.6" customHeight="1" x14ac:dyDescent="0.4">
      <c r="A111" s="58" t="s">
        <v>26</v>
      </c>
      <c r="B111" s="170" t="s">
        <v>193</v>
      </c>
      <c r="C111" s="259" t="s">
        <v>145</v>
      </c>
      <c r="D111" s="261">
        <v>28</v>
      </c>
      <c r="E111" s="3" t="e">
        <f t="shared" ca="1" si="4"/>
        <v>#REF!</v>
      </c>
      <c r="F111" s="20" t="e">
        <f ca="1">_2!E$31*G111+_2!F$31*H111</f>
        <v>#REF!</v>
      </c>
      <c r="G111" s="10" t="e">
        <f ca="1">IF(_2!E$43&gt;0,INDIRECT(ADDRESS(18,2,,,_2!E$38)),0)</f>
        <v>#REF!</v>
      </c>
      <c r="H111" s="230">
        <f ca="1">IF(_2!F$43&gt;0,INDIRECT(ADDRESS(18,2,,,_2!F$38)),0)</f>
        <v>0</v>
      </c>
      <c r="I111" s="20">
        <f ca="1">_2!H$31*J111+_2!I$31*K111</f>
        <v>0</v>
      </c>
      <c r="J111" s="10">
        <f ca="1">IF(_2!H$43&gt;0,INDIRECT(ADDRESS(18,2,,,_2!H$38)),0)</f>
        <v>0</v>
      </c>
      <c r="K111" s="230">
        <f ca="1">IF(_2!I$43&gt;0,INDIRECT(ADDRESS(18,2,,,_2!I$38)),0)</f>
        <v>0</v>
      </c>
      <c r="O111" s="24" t="e">
        <f t="shared" ca="1" si="3"/>
        <v>#REF!</v>
      </c>
      <c r="P111" s="23"/>
      <c r="Q111" s="23"/>
    </row>
    <row r="112" spans="1:17" ht="15.6" customHeight="1" x14ac:dyDescent="0.4">
      <c r="A112" s="58" t="s">
        <v>26</v>
      </c>
      <c r="B112" s="170" t="s">
        <v>193</v>
      </c>
      <c r="C112" s="259" t="s">
        <v>145</v>
      </c>
      <c r="D112" s="261">
        <v>32</v>
      </c>
      <c r="E112" s="3" t="e">
        <f t="shared" ca="1" si="4"/>
        <v>#REF!</v>
      </c>
      <c r="F112" s="20" t="e">
        <f ca="1">_2!E$31*G112+_2!F$31*H112</f>
        <v>#REF!</v>
      </c>
      <c r="G112" s="10" t="e">
        <f ca="1">IF(_2!E$43&gt;0,INDIRECT(ADDRESS(19,2,,,_2!E$38)),0)</f>
        <v>#REF!</v>
      </c>
      <c r="H112" s="230">
        <f ca="1">IF(_2!F$43&gt;0,INDIRECT(ADDRESS(19,2,,,_2!F$38)),0)</f>
        <v>0</v>
      </c>
      <c r="I112" s="20">
        <f ca="1">_2!H$31*J112+_2!I$31*K112</f>
        <v>0</v>
      </c>
      <c r="J112" s="10">
        <f ca="1">IF(_2!H$43&gt;0,INDIRECT(ADDRESS(19,2,,,_2!H$38)),0)</f>
        <v>0</v>
      </c>
      <c r="K112" s="230">
        <f ca="1">IF(_2!I$43&gt;0,INDIRECT(ADDRESS(19,2,,,_2!I$38)),0)</f>
        <v>0</v>
      </c>
      <c r="O112" s="24" t="e">
        <f t="shared" ca="1" si="3"/>
        <v>#REF!</v>
      </c>
      <c r="P112" s="23"/>
      <c r="Q112" s="23"/>
    </row>
    <row r="113" spans="1:17" ht="15.6" customHeight="1" x14ac:dyDescent="0.4">
      <c r="A113" s="58" t="s">
        <v>26</v>
      </c>
      <c r="B113" s="170" t="s">
        <v>193</v>
      </c>
      <c r="C113" s="259" t="s">
        <v>145</v>
      </c>
      <c r="D113" s="261">
        <v>36</v>
      </c>
      <c r="E113" s="3" t="e">
        <f t="shared" ca="1" si="4"/>
        <v>#REF!</v>
      </c>
      <c r="F113" s="20" t="e">
        <f ca="1">_2!E$31*G113+_2!F$31*H113</f>
        <v>#REF!</v>
      </c>
      <c r="G113" s="10" t="e">
        <f ca="1">IF(_2!E$43&gt;0,INDIRECT(ADDRESS(20,2,,,_2!E$38)),0)</f>
        <v>#REF!</v>
      </c>
      <c r="H113" s="230">
        <f ca="1">IF(_2!F$43&gt;0,INDIRECT(ADDRESS(20,2,,,_2!F$38)),0)</f>
        <v>0</v>
      </c>
      <c r="I113" s="20">
        <f ca="1">_2!H$31*J113+_2!I$31*K113</f>
        <v>0</v>
      </c>
      <c r="J113" s="10">
        <f ca="1">IF(_2!H$43&gt;0,INDIRECT(ADDRESS(20,2,,,_2!H$38)),0)</f>
        <v>0</v>
      </c>
      <c r="K113" s="230">
        <f ca="1">IF(_2!I$43&gt;0,INDIRECT(ADDRESS(20,2,,,_2!I$38)),0)</f>
        <v>0</v>
      </c>
      <c r="O113" s="24" t="e">
        <f t="shared" ca="1" si="3"/>
        <v>#REF!</v>
      </c>
      <c r="P113" s="23"/>
      <c r="Q113" s="23"/>
    </row>
    <row r="114" spans="1:17" ht="15.6" customHeight="1" x14ac:dyDescent="0.4">
      <c r="A114" s="58" t="s">
        <v>26</v>
      </c>
      <c r="B114" s="170" t="s">
        <v>193</v>
      </c>
      <c r="C114" s="259" t="s">
        <v>145</v>
      </c>
      <c r="D114" s="261">
        <v>40</v>
      </c>
      <c r="E114" s="3" t="e">
        <f t="shared" ca="1" si="4"/>
        <v>#REF!</v>
      </c>
      <c r="F114" s="20" t="e">
        <f ca="1">_2!E$31*G114+_2!F$31*H114</f>
        <v>#REF!</v>
      </c>
      <c r="G114" s="10" t="e">
        <f ca="1">IF(_2!E$43&gt;0,INDIRECT(ADDRESS(21,2,,,_2!E$38)),0)</f>
        <v>#REF!</v>
      </c>
      <c r="H114" s="230">
        <f ca="1">IF(_2!F$43&gt;0,INDIRECT(ADDRESS(21,2,,,_2!F$38)),0)</f>
        <v>0</v>
      </c>
      <c r="I114" s="20">
        <f ca="1">_2!H$31*J114+_2!I$31*K114</f>
        <v>0</v>
      </c>
      <c r="J114" s="10">
        <f ca="1">IF(_2!H$43&gt;0,INDIRECT(ADDRESS(21,2,,,_2!H$38)),0)</f>
        <v>0</v>
      </c>
      <c r="K114" s="230">
        <f ca="1">IF(_2!I$43&gt;0,INDIRECT(ADDRESS(21,2,,,_2!I$38)),0)</f>
        <v>0</v>
      </c>
      <c r="O114" s="24" t="e">
        <f t="shared" ca="1" si="3"/>
        <v>#REF!</v>
      </c>
      <c r="P114" s="23"/>
      <c r="Q114" s="23"/>
    </row>
    <row r="115" spans="1:17" ht="15.6" customHeight="1" thickBot="1" x14ac:dyDescent="0.45">
      <c r="A115" s="270"/>
      <c r="B115" s="271"/>
      <c r="C115" s="272" t="s">
        <v>147</v>
      </c>
      <c r="D115" s="273" t="s">
        <v>363</v>
      </c>
      <c r="E115" s="274" t="e">
        <f t="shared" ca="1" si="4"/>
        <v>#REF!</v>
      </c>
      <c r="F115" s="62" t="e">
        <f ca="1">_2!E$31*G115+_2!F$31*H115</f>
        <v>#REF!</v>
      </c>
      <c r="G115" s="275" t="e">
        <f ca="1">IF(_2!E$43&gt;0,INDIRECT(ADDRESS(35,3,,,_2!E$38)),0)</f>
        <v>#REF!</v>
      </c>
      <c r="H115" s="276">
        <f ca="1">IF(_2!F$43&gt;0,INDIRECT(ADDRESS(35,3,,,_2!F$38)),0)</f>
        <v>0</v>
      </c>
      <c r="I115" s="62">
        <f ca="1">_2!H$31*J115+_2!I$31*K115</f>
        <v>0</v>
      </c>
      <c r="J115" s="275">
        <f ca="1">IF(_2!H$43&gt;0,INDIRECT(ADDRESS(35,3,,,_2!H$38)),0)</f>
        <v>0</v>
      </c>
      <c r="K115" s="276">
        <f ca="1">IF(_2!I$43&gt;0,INDIRECT(ADDRESS(35,3,,,_2!I$38)),0)</f>
        <v>0</v>
      </c>
      <c r="O115" s="24" t="e">
        <f t="shared" ca="1" si="3"/>
        <v>#REF!</v>
      </c>
      <c r="P115" s="23"/>
      <c r="Q115" s="23"/>
    </row>
    <row r="116" spans="1:17" ht="15.4" x14ac:dyDescent="0.45">
      <c r="A116" s="57" t="s">
        <v>360</v>
      </c>
      <c r="B116" s="16"/>
      <c r="C116" s="16"/>
      <c r="D116" s="18"/>
      <c r="E116" s="3">
        <f>F116+I116</f>
        <v>306</v>
      </c>
      <c r="F116" s="20">
        <f>_2!E$16*G116+_2!F$16*H116</f>
        <v>217.6</v>
      </c>
      <c r="G116" s="1">
        <f>ROUND(_2!E19*(2*_2!E17+2*_2!E18)+_2!E17*_2!E18-_2!E32*PI()*_2!E33*_2!E33/4,1)</f>
        <v>54.4</v>
      </c>
      <c r="H116" s="8">
        <f>ROUND(_2!F19*(2*_2!F17+2*_2!F18)+_2!F17*_2!F18-_2!F32*PI()*_2!F33*_2!F33/4,1)</f>
        <v>0</v>
      </c>
      <c r="I116" s="20">
        <f>_2!H$16*J116+_2!I$16*K116</f>
        <v>88.4</v>
      </c>
      <c r="J116" s="1">
        <f>ROUND(_2!H19*(2*_2!H17+2*_2!H18)+_2!H17*_2!H18-_2!H32*PI()*_2!H33*_2!H33/4,1)</f>
        <v>22.1</v>
      </c>
      <c r="K116" s="8">
        <f>ROUND(_2!I19*(2*_2!I17+2*_2!I18)+_2!I17*_2!I18-_2!I32*PI()*_2!I33*_2!I33/4,1)</f>
        <v>0</v>
      </c>
      <c r="O116" s="24">
        <f t="shared" si="3"/>
        <v>1</v>
      </c>
      <c r="P116" s="23"/>
      <c r="Q116" s="23"/>
    </row>
    <row r="117" spans="1:17" ht="15.4" x14ac:dyDescent="0.45">
      <c r="A117" s="57" t="s">
        <v>361</v>
      </c>
      <c r="B117" s="16"/>
      <c r="C117" s="16"/>
      <c r="D117" s="18"/>
      <c r="E117" s="3">
        <f>F117+I117</f>
        <v>15.2</v>
      </c>
      <c r="F117" s="20">
        <f>_2!E$31*G117+_2!F$31*H117</f>
        <v>7.2</v>
      </c>
      <c r="G117" s="1">
        <f>ROUND(PI()*_2!E32*(_2!E47-_2!E15-_2!E19+_2!E46),1)</f>
        <v>1.8</v>
      </c>
      <c r="H117" s="8">
        <f>ROUND(PI()*_2!F32*(_2!F47-_2!F15-_2!F19+_2!F46),1)</f>
        <v>0</v>
      </c>
      <c r="I117" s="20">
        <f>_2!H$31*J117+_2!I$31*K117</f>
        <v>8</v>
      </c>
      <c r="J117" s="240">
        <f>ROUND(PI()*_2!H32*(_2!H47-_2!H15-_2!H19+_2!H46),1)</f>
        <v>2</v>
      </c>
      <c r="K117" s="8">
        <f>ROUND(PI()*_2!I32*(_2!I47-_2!I15-_2!I19+_2!I46),1)</f>
        <v>0</v>
      </c>
      <c r="O117" s="24">
        <f t="shared" si="3"/>
        <v>1</v>
      </c>
      <c r="P117" s="167"/>
      <c r="Q117" s="167"/>
    </row>
    <row r="118" spans="1:17" ht="15.4" x14ac:dyDescent="0.45">
      <c r="A118" s="57" t="s">
        <v>365</v>
      </c>
      <c r="B118" s="16"/>
      <c r="C118" s="16"/>
      <c r="D118" s="18"/>
      <c r="E118" s="3">
        <f>F118+I118</f>
        <v>0</v>
      </c>
      <c r="F118" s="20">
        <f>_2!E$16*G118+_2!F$16*H118</f>
        <v>0</v>
      </c>
      <c r="G118" s="1">
        <f>ROUND((_2!E17*_2!E18-PI()*_2!E33*_2!E33/4)*_2!E48,1)</f>
        <v>0</v>
      </c>
      <c r="H118" s="1">
        <f>ROUND((_2!F17*_2!F18-PI()*_2!F33*_2!F33/4)*_2!F48,1)</f>
        <v>0</v>
      </c>
      <c r="I118" s="9">
        <f>_2!H$16*J118+_2!I$16*K118</f>
        <v>0</v>
      </c>
      <c r="J118" s="1">
        <f>ROUND((_2!H17*_2!H18-PI()*_2!H33*_2!H33/4)*_2!H48,1)</f>
        <v>0</v>
      </c>
      <c r="K118" s="8">
        <f>ROUND((_2!I17*_2!I18-PI()*_2!I33*_2!I33/4)*_2!I48,1)</f>
        <v>0</v>
      </c>
      <c r="O118" s="24">
        <f>IF(E118=0,0,1)</f>
        <v>0</v>
      </c>
      <c r="P118" s="167"/>
      <c r="Q118" s="167"/>
    </row>
    <row r="119" spans="1:17" ht="14.65" thickBot="1" x14ac:dyDescent="0.5">
      <c r="A119" s="59" t="s">
        <v>364</v>
      </c>
      <c r="B119" s="60"/>
      <c r="C119" s="60"/>
      <c r="D119" s="61"/>
      <c r="E119" s="254">
        <f>F119+I119</f>
        <v>309.60000000000002</v>
      </c>
      <c r="F119" s="62">
        <f>_2!E$31*G119+_2!F$31*H119</f>
        <v>129.19999999999999</v>
      </c>
      <c r="G119" s="12">
        <f>IF(_2!E49=0,0,ROUND(PI()*_2!E33*(_2!E15+_2!E19+_2!E34-_2!E46-_2!E47),1))</f>
        <v>32.299999999999997</v>
      </c>
      <c r="H119" s="13">
        <f>IF(_2!F49=0,0,ROUND(PI()*_2!F33*(_2!F15+_2!F19+_2!F34-_2!F46-_2!F47),1))</f>
        <v>0</v>
      </c>
      <c r="I119" s="62">
        <f>_2!H$31*J119+_2!I$31*K119</f>
        <v>180.4</v>
      </c>
      <c r="J119" s="12">
        <f>IF(_2!H49=0,0,ROUND(PI()*_2!H33*(_2!H15+_2!H19+_2!H34-_2!H46-_2!H47),1))</f>
        <v>45.1</v>
      </c>
      <c r="K119" s="13">
        <f>IF(_2!I49=0,0,ROUND(PI()*_2!I33*(_2!I15+_2!I19+_2!I34-_2!I46-_2!I47),1))</f>
        <v>0</v>
      </c>
      <c r="O119" s="24">
        <f>IF(E119=0,0,1)</f>
        <v>1</v>
      </c>
    </row>
    <row r="120" spans="1:17" x14ac:dyDescent="0.45">
      <c r="O120" s="24"/>
    </row>
    <row r="121" spans="1:17" x14ac:dyDescent="0.45">
      <c r="O121" s="24"/>
    </row>
    <row r="122" spans="1:17" x14ac:dyDescent="0.45">
      <c r="O122" s="24"/>
    </row>
    <row r="123" spans="1:17" x14ac:dyDescent="0.45">
      <c r="O123" s="24"/>
    </row>
    <row r="124" spans="1:17" x14ac:dyDescent="0.45">
      <c r="O124" s="24"/>
    </row>
  </sheetData>
  <mergeCells count="5">
    <mergeCell ref="O6:O7"/>
    <mergeCell ref="P6:Q6"/>
    <mergeCell ref="F6:H6"/>
    <mergeCell ref="I6:K6"/>
    <mergeCell ref="E6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unhide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tobr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1:P81"/>
  <sheetViews>
    <sheetView tabSelected="1" topLeftCell="A4" zoomScale="85" zoomScaleNormal="85" workbookViewId="0">
      <selection activeCell="G10" sqref="G10"/>
    </sheetView>
  </sheetViews>
  <sheetFormatPr defaultColWidth="9.1328125" defaultRowHeight="14.25" x14ac:dyDescent="0.45"/>
  <cols>
    <col min="1" max="1" width="10.19921875" style="1" customWidth="1"/>
    <col min="2" max="2" width="61" style="1" customWidth="1"/>
    <col min="3" max="3" width="17.33203125" style="1" bestFit="1" customWidth="1"/>
    <col min="4" max="4" width="11.46484375" style="1" customWidth="1"/>
    <col min="5" max="11" width="11.796875" style="1" customWidth="1"/>
    <col min="12" max="12" width="9.1328125" style="1"/>
    <col min="13" max="14" width="9.1328125" style="1" hidden="1" customWidth="1"/>
    <col min="15" max="16384" width="9.1328125" style="1"/>
  </cols>
  <sheetData>
    <row r="1" spans="1:16" x14ac:dyDescent="0.45">
      <c r="K1" s="199" t="s">
        <v>449</v>
      </c>
      <c r="L1" s="1">
        <v>15000</v>
      </c>
    </row>
    <row r="2" spans="1:16" ht="14.65" thickBot="1" x14ac:dyDescent="0.5">
      <c r="K2" s="199" t="s">
        <v>439</v>
      </c>
      <c r="L2" s="1">
        <v>10000</v>
      </c>
    </row>
    <row r="3" spans="1:16" ht="34.799999999999997" customHeight="1" thickBot="1" x14ac:dyDescent="0.5">
      <c r="B3" s="163" t="s">
        <v>404</v>
      </c>
      <c r="C3" s="156"/>
      <c r="D3" s="360" t="s">
        <v>477</v>
      </c>
      <c r="E3" s="315" t="s">
        <v>462</v>
      </c>
      <c r="F3" s="315" t="s">
        <v>463</v>
      </c>
      <c r="G3" s="360" t="s">
        <v>464</v>
      </c>
      <c r="K3" s="199" t="s">
        <v>450</v>
      </c>
      <c r="L3" s="1">
        <v>30000</v>
      </c>
    </row>
    <row r="4" spans="1:16" x14ac:dyDescent="0.45">
      <c r="B4" s="157" t="s">
        <v>454</v>
      </c>
      <c r="C4" s="157"/>
      <c r="D4" s="157"/>
      <c r="E4" s="9" t="s">
        <v>456</v>
      </c>
      <c r="F4" s="9" t="s">
        <v>457</v>
      </c>
      <c r="G4" s="3" t="s">
        <v>458</v>
      </c>
      <c r="K4" s="199" t="s">
        <v>443</v>
      </c>
      <c r="L4" s="1">
        <v>10000</v>
      </c>
    </row>
    <row r="5" spans="1:16" s="246" customFormat="1" x14ac:dyDescent="0.45">
      <c r="A5" s="1"/>
      <c r="B5" s="252" t="s">
        <v>451</v>
      </c>
      <c r="C5" s="252"/>
      <c r="D5" s="252"/>
      <c r="E5" s="374" t="str">
        <f>CONCATENATE("[ARM_ПС.xls]",E4)</f>
        <v>[ARM_ПС.xls]Р1.1</v>
      </c>
      <c r="F5" s="377" t="str">
        <f>CONCATENATE("[ARM_ПС.xls]",F4)</f>
        <v>[ARM_ПС.xls]Р1.2</v>
      </c>
      <c r="G5" s="377" t="str">
        <f>CONCATENATE("[ARM_ПС.xls]",G4)</f>
        <v>[ARM_ПС.xls]Р1.3</v>
      </c>
      <c r="I5" s="1"/>
      <c r="J5" s="1"/>
      <c r="K5" s="199" t="s">
        <v>444</v>
      </c>
      <c r="L5" s="1">
        <v>5000</v>
      </c>
      <c r="M5" s="1"/>
      <c r="N5" s="1"/>
      <c r="O5" s="1"/>
      <c r="P5" s="1"/>
    </row>
    <row r="6" spans="1:16" x14ac:dyDescent="0.45">
      <c r="B6" s="157" t="s">
        <v>455</v>
      </c>
      <c r="C6" s="157"/>
      <c r="D6" s="157"/>
      <c r="E6" s="9" t="s">
        <v>459</v>
      </c>
      <c r="F6" s="9" t="s">
        <v>460</v>
      </c>
      <c r="G6" s="9" t="s">
        <v>461</v>
      </c>
      <c r="I6" s="246"/>
      <c r="J6" s="246"/>
      <c r="K6" s="246"/>
      <c r="L6" s="246"/>
      <c r="M6" s="246"/>
      <c r="N6" s="246"/>
      <c r="O6" s="246"/>
      <c r="P6" s="246"/>
    </row>
    <row r="7" spans="1:16" s="246" customFormat="1" x14ac:dyDescent="0.45">
      <c r="A7" s="1"/>
      <c r="B7" s="252" t="s">
        <v>451</v>
      </c>
      <c r="C7" s="252"/>
      <c r="D7" s="252"/>
      <c r="E7" s="374" t="str">
        <f>CONCATENATE("[ARM_ПС.xls]",E6)</f>
        <v>[ARM_ПС.xls]Ст1.1</v>
      </c>
      <c r="F7" s="377" t="str">
        <f>CONCATENATE("[ARM_ПС.xls]",F6)</f>
        <v>[ARM_ПС.xls]Ст1.2</v>
      </c>
      <c r="G7" s="377" t="str">
        <f>CONCATENATE("[ARM_ПС.xls]",G6)</f>
        <v>[ARM_ПС.xls]Ст1.3</v>
      </c>
      <c r="I7" s="1"/>
      <c r="J7" s="1"/>
      <c r="K7" s="199" t="s">
        <v>444</v>
      </c>
      <c r="L7" s="1">
        <v>5000</v>
      </c>
      <c r="M7" s="1"/>
      <c r="N7" s="1"/>
      <c r="O7" s="1"/>
      <c r="P7" s="1"/>
    </row>
    <row r="8" spans="1:16" x14ac:dyDescent="0.45">
      <c r="B8" s="157" t="s">
        <v>7</v>
      </c>
      <c r="C8" s="157"/>
      <c r="D8" s="157">
        <f>SUM(E8:H8)</f>
        <v>3</v>
      </c>
      <c r="E8" s="9">
        <v>1</v>
      </c>
      <c r="F8" s="3">
        <v>1</v>
      </c>
      <c r="G8" s="379">
        <v>1</v>
      </c>
      <c r="I8" s="246"/>
      <c r="J8" s="246"/>
      <c r="K8" s="246"/>
      <c r="L8" s="246"/>
      <c r="M8" s="246"/>
      <c r="N8" s="246"/>
      <c r="O8" s="246"/>
      <c r="P8" s="246"/>
    </row>
    <row r="9" spans="1:16" x14ac:dyDescent="0.45">
      <c r="B9" s="163" t="s">
        <v>409</v>
      </c>
      <c r="D9" s="163"/>
      <c r="E9" s="376">
        <v>0</v>
      </c>
      <c r="F9" s="378">
        <v>100</v>
      </c>
      <c r="G9" s="386">
        <v>200</v>
      </c>
      <c r="H9" s="10"/>
      <c r="K9" s="199" t="s">
        <v>435</v>
      </c>
      <c r="L9" s="1" t="str">
        <f>E6</f>
        <v>Ст1.1</v>
      </c>
      <c r="M9" s="1" t="str">
        <f>F6</f>
        <v>Ст1.2</v>
      </c>
      <c r="N9" s="1" t="str">
        <f>G6</f>
        <v>Ст1.3</v>
      </c>
    </row>
    <row r="10" spans="1:16" x14ac:dyDescent="0.45">
      <c r="B10" s="364" t="s">
        <v>419</v>
      </c>
      <c r="C10" s="163" t="s">
        <v>465</v>
      </c>
      <c r="D10" s="362"/>
      <c r="E10" s="9">
        <f>11.8</f>
        <v>11.8</v>
      </c>
      <c r="F10" s="3">
        <f>11.8</f>
        <v>11.8</v>
      </c>
      <c r="G10" s="3">
        <f>11.8</f>
        <v>11.8</v>
      </c>
      <c r="I10" s="1" t="s">
        <v>445</v>
      </c>
      <c r="J10" s="1" t="s">
        <v>440</v>
      </c>
      <c r="K10" s="1" t="s">
        <v>441</v>
      </c>
      <c r="L10" s="1">
        <v>0</v>
      </c>
      <c r="M10" s="1">
        <v>0</v>
      </c>
      <c r="N10" s="1">
        <v>0</v>
      </c>
      <c r="P10" s="246"/>
    </row>
    <row r="11" spans="1:16" x14ac:dyDescent="0.45">
      <c r="B11" s="364" t="s">
        <v>428</v>
      </c>
      <c r="C11" s="157" t="s">
        <v>466</v>
      </c>
      <c r="D11" s="362"/>
      <c r="E11" s="9">
        <f>2450/1000</f>
        <v>2.4500000000000002</v>
      </c>
      <c r="F11" s="3">
        <v>5</v>
      </c>
      <c r="G11" s="3">
        <v>5</v>
      </c>
      <c r="J11" s="313"/>
      <c r="K11" s="313" t="s">
        <v>442</v>
      </c>
      <c r="L11" s="313">
        <v>0</v>
      </c>
      <c r="M11" s="313">
        <v>0</v>
      </c>
      <c r="N11" s="313">
        <v>0</v>
      </c>
      <c r="O11" s="313"/>
    </row>
    <row r="12" spans="1:16" x14ac:dyDescent="0.45">
      <c r="B12" s="364" t="s">
        <v>430</v>
      </c>
      <c r="C12" s="157" t="s">
        <v>467</v>
      </c>
      <c r="D12" s="362"/>
      <c r="E12" s="9">
        <f>5</f>
        <v>5</v>
      </c>
      <c r="F12" s="3">
        <v>5</v>
      </c>
      <c r="G12" s="3">
        <v>7</v>
      </c>
      <c r="I12" s="10"/>
      <c r="J12" s="1">
        <v>1</v>
      </c>
      <c r="K12" s="1" t="s">
        <v>436</v>
      </c>
      <c r="L12" s="1">
        <f>L$10</f>
        <v>0</v>
      </c>
      <c r="M12" s="1">
        <f>M$10</f>
        <v>0</v>
      </c>
      <c r="N12" s="1">
        <f>N$10</f>
        <v>0</v>
      </c>
    </row>
    <row r="13" spans="1:16" x14ac:dyDescent="0.45">
      <c r="B13" s="364" t="s">
        <v>420</v>
      </c>
      <c r="C13" s="157" t="s">
        <v>468</v>
      </c>
      <c r="D13" s="362"/>
      <c r="E13" s="9">
        <f>4</f>
        <v>4</v>
      </c>
      <c r="F13" s="3">
        <f>4</f>
        <v>4</v>
      </c>
      <c r="G13" s="3">
        <f>4</f>
        <v>4</v>
      </c>
      <c r="K13" s="1" t="s">
        <v>437</v>
      </c>
      <c r="L13" s="1">
        <f>L$11</f>
        <v>0</v>
      </c>
      <c r="M13" s="1">
        <f>M$11</f>
        <v>0</v>
      </c>
      <c r="N13" s="1">
        <f>N$11</f>
        <v>0</v>
      </c>
    </row>
    <row r="14" spans="1:16" x14ac:dyDescent="0.45">
      <c r="B14" s="364" t="s">
        <v>421</v>
      </c>
      <c r="C14" s="157" t="s">
        <v>469</v>
      </c>
      <c r="D14" s="362"/>
      <c r="E14" s="9">
        <f>400/1000</f>
        <v>0.4</v>
      </c>
      <c r="F14" s="3">
        <f>400/1000</f>
        <v>0.4</v>
      </c>
      <c r="G14" s="3">
        <f>400/1000</f>
        <v>0.4</v>
      </c>
      <c r="J14" s="1">
        <v>2</v>
      </c>
      <c r="K14" s="1" t="s">
        <v>436</v>
      </c>
      <c r="L14" s="1">
        <f>L$10</f>
        <v>0</v>
      </c>
      <c r="M14" s="1">
        <f>M$10</f>
        <v>0</v>
      </c>
      <c r="N14" s="1">
        <f>N$10</f>
        <v>0</v>
      </c>
    </row>
    <row r="15" spans="1:16" x14ac:dyDescent="0.45">
      <c r="B15" s="364" t="s">
        <v>422</v>
      </c>
      <c r="C15" s="157" t="s">
        <v>470</v>
      </c>
      <c r="D15" s="362"/>
      <c r="E15" s="9">
        <v>0.9</v>
      </c>
      <c r="F15" s="3">
        <v>0.9</v>
      </c>
      <c r="G15" s="3">
        <v>0.9</v>
      </c>
      <c r="K15" s="1" t="s">
        <v>437</v>
      </c>
      <c r="L15" s="1">
        <f>L$11+E$18*1000</f>
        <v>700</v>
      </c>
      <c r="M15" s="1">
        <f>M$11+F$18*1000</f>
        <v>700</v>
      </c>
      <c r="N15" s="1">
        <f>N$11+G$18*1000</f>
        <v>700</v>
      </c>
    </row>
    <row r="16" spans="1:16" x14ac:dyDescent="0.45">
      <c r="B16" s="364" t="s">
        <v>423</v>
      </c>
      <c r="C16" s="157" t="s">
        <v>471</v>
      </c>
      <c r="D16" s="362"/>
      <c r="E16" s="9">
        <v>0.82</v>
      </c>
      <c r="F16" s="3">
        <v>0.82</v>
      </c>
      <c r="G16" s="3">
        <v>0.82</v>
      </c>
      <c r="J16" s="1">
        <v>3</v>
      </c>
      <c r="K16" s="1" t="s">
        <v>436</v>
      </c>
      <c r="L16" s="1">
        <f>L$10+E$10*1000</f>
        <v>11800</v>
      </c>
      <c r="M16" s="1">
        <f>M$10+F$10*1000</f>
        <v>11800</v>
      </c>
      <c r="N16" s="1">
        <f>N$10+G$10*1000</f>
        <v>11800</v>
      </c>
    </row>
    <row r="17" spans="2:15" x14ac:dyDescent="0.45">
      <c r="B17" s="364" t="s">
        <v>425</v>
      </c>
      <c r="C17" s="157" t="s">
        <v>472</v>
      </c>
      <c r="D17" s="362"/>
      <c r="E17" s="9">
        <v>1</v>
      </c>
      <c r="F17" s="3">
        <f>1145/1000</f>
        <v>1.145</v>
      </c>
      <c r="G17" s="3">
        <f>1145/1000</f>
        <v>1.145</v>
      </c>
      <c r="K17" s="1" t="s">
        <v>437</v>
      </c>
      <c r="L17" s="1">
        <f>L$11+E$18*1000</f>
        <v>700</v>
      </c>
      <c r="M17" s="1">
        <f>M$11+F$18*1000</f>
        <v>700</v>
      </c>
      <c r="N17" s="1">
        <f>N$11+G$18*1000</f>
        <v>700</v>
      </c>
    </row>
    <row r="18" spans="2:15" x14ac:dyDescent="0.45">
      <c r="B18" s="364" t="s">
        <v>424</v>
      </c>
      <c r="C18" s="157" t="s">
        <v>473</v>
      </c>
      <c r="D18" s="362"/>
      <c r="E18" s="9">
        <v>0.7</v>
      </c>
      <c r="F18" s="3">
        <v>0.7</v>
      </c>
      <c r="G18" s="3">
        <v>0.7</v>
      </c>
      <c r="J18" s="1">
        <v>4</v>
      </c>
      <c r="K18" s="1" t="s">
        <v>436</v>
      </c>
      <c r="L18" s="1">
        <f>L$10+E$10*1000</f>
        <v>11800</v>
      </c>
      <c r="M18" s="1">
        <f>M$10+F$10*1000</f>
        <v>11800</v>
      </c>
      <c r="N18" s="1">
        <f>N$10+G$10*1000</f>
        <v>11800</v>
      </c>
    </row>
    <row r="19" spans="2:15" x14ac:dyDescent="0.45">
      <c r="B19" s="364" t="s">
        <v>426</v>
      </c>
      <c r="C19" s="157" t="s">
        <v>474</v>
      </c>
      <c r="D19" s="362"/>
      <c r="E19" s="9">
        <f>1</f>
        <v>1</v>
      </c>
      <c r="F19" s="3">
        <f>1</f>
        <v>1</v>
      </c>
      <c r="G19" s="3">
        <f>1</f>
        <v>1</v>
      </c>
      <c r="K19" s="1" t="s">
        <v>437</v>
      </c>
      <c r="L19" s="1">
        <f>L$11</f>
        <v>0</v>
      </c>
      <c r="M19" s="1">
        <f>M$11</f>
        <v>0</v>
      </c>
      <c r="N19" s="1">
        <f>N$11</f>
        <v>0</v>
      </c>
    </row>
    <row r="20" spans="2:15" x14ac:dyDescent="0.45">
      <c r="B20" s="364" t="s">
        <v>427</v>
      </c>
      <c r="C20" s="157" t="s">
        <v>475</v>
      </c>
      <c r="D20" s="362"/>
      <c r="E20" s="361">
        <v>0.6</v>
      </c>
      <c r="F20" s="379">
        <v>0.6</v>
      </c>
      <c r="G20" s="379">
        <v>0.6</v>
      </c>
      <c r="J20" s="1">
        <v>5</v>
      </c>
      <c r="K20" s="1" t="s">
        <v>436</v>
      </c>
      <c r="L20" s="1">
        <f>L$10</f>
        <v>0</v>
      </c>
      <c r="M20" s="1">
        <f>M$10</f>
        <v>0</v>
      </c>
      <c r="N20" s="1">
        <f>N$10</f>
        <v>0</v>
      </c>
    </row>
    <row r="21" spans="2:15" x14ac:dyDescent="0.45">
      <c r="B21" s="163" t="s">
        <v>452</v>
      </c>
      <c r="C21" s="163" t="s">
        <v>476</v>
      </c>
      <c r="D21" s="163">
        <f>SUM(E21:H21)</f>
        <v>120.2</v>
      </c>
      <c r="E21" s="157">
        <f>ROUNDUP(((E$13*(E$20+E$18)/2)+(E$13*(E$17-E$18)/2))*E$10,1)</f>
        <v>37.800000000000004</v>
      </c>
      <c r="F21" s="156">
        <f>ROUNDUP(((F$13*(F$20+F$18)/2)+(F$13*(F$17-F$18)/2))*F$10,1)</f>
        <v>41.2</v>
      </c>
      <c r="G21" s="156">
        <f>ROUNDUP(((G$13*(G$20+G$18)/2)+(G$13*(G$17-G$18)/2))*G$10,1)</f>
        <v>41.2</v>
      </c>
      <c r="K21" s="1" t="s">
        <v>437</v>
      </c>
      <c r="L21" s="1">
        <f>L$11+E$11*1000</f>
        <v>2450</v>
      </c>
      <c r="M21" s="1">
        <f>M$11+F$11*1000</f>
        <v>5000</v>
      </c>
      <c r="N21" s="1">
        <f>N$11+G$11*1000</f>
        <v>5000</v>
      </c>
    </row>
    <row r="22" spans="2:15" x14ac:dyDescent="0.45">
      <c r="B22" s="157" t="s">
        <v>453</v>
      </c>
      <c r="C22" s="157" t="s">
        <v>476</v>
      </c>
      <c r="D22" s="157">
        <f>SUM(E22:H22)</f>
        <v>84.4</v>
      </c>
      <c r="E22" s="157">
        <f>ROUND(0.5*(E$14+E$16)*((E$12+E$11)/2-(E$19))*E$10,1)</f>
        <v>19.600000000000001</v>
      </c>
      <c r="F22" s="156">
        <f>ROUND(0.5*(F$14+F$16)*((F$12+F$11)/2-(F$19))*F$10,1)</f>
        <v>28.8</v>
      </c>
      <c r="G22" s="156">
        <f>ROUND(0.5*(G$14+G$16)*((G$12+G$11)/2-(G$19))*G$10,1)</f>
        <v>36</v>
      </c>
      <c r="J22" s="1">
        <v>6</v>
      </c>
      <c r="K22" s="1" t="s">
        <v>436</v>
      </c>
      <c r="L22" s="1">
        <f>L$10+E$10*1000</f>
        <v>11800</v>
      </c>
      <c r="M22" s="1">
        <f>M$10+F$10*1000</f>
        <v>11800</v>
      </c>
      <c r="N22" s="1">
        <f>N$10+G$10*1000</f>
        <v>11800</v>
      </c>
    </row>
    <row r="23" spans="2:15" x14ac:dyDescent="0.45">
      <c r="B23" s="157" t="s">
        <v>350</v>
      </c>
      <c r="C23" s="157"/>
      <c r="D23" s="157"/>
      <c r="E23" s="157" t="str">
        <f>IF(_1!E27&gt;0,"БНС","заб")</f>
        <v>заб</v>
      </c>
      <c r="F23" s="156" t="str">
        <f>IF(_1!E27&gt;0,"БНС","заб")</f>
        <v>заб</v>
      </c>
      <c r="G23" s="156" t="str">
        <f>IF(_1!F27&gt;0,"БНС","заб")</f>
        <v>заб</v>
      </c>
      <c r="J23" s="313"/>
      <c r="K23" s="313" t="s">
        <v>437</v>
      </c>
      <c r="L23" s="313">
        <f>L$11+E$12*1000</f>
        <v>5000</v>
      </c>
      <c r="M23" s="313">
        <f>M$11+F$12*1000</f>
        <v>5000</v>
      </c>
      <c r="N23" s="313">
        <f>N$11+G$12*1000</f>
        <v>7000</v>
      </c>
      <c r="O23" s="313"/>
    </row>
    <row r="24" spans="2:15" x14ac:dyDescent="0.45">
      <c r="B24" s="157" t="s">
        <v>410</v>
      </c>
      <c r="C24" s="157"/>
      <c r="D24" s="157">
        <f>SUM(E24:H24)</f>
        <v>54</v>
      </c>
      <c r="E24" s="7">
        <f>IF(_1!$E27=0,_1!$E16+_1!$E17,_1!$E27)</f>
        <v>18</v>
      </c>
      <c r="F24" s="156">
        <f>IF(_1!$E27=0,_1!$E16+_1!$E17,_1!$E27)</f>
        <v>18</v>
      </c>
      <c r="G24" s="156">
        <f>IF(_1!$E27=0,_1!$E16+_1!$E17,_1!$E27)</f>
        <v>18</v>
      </c>
      <c r="I24" s="173" t="s">
        <v>446</v>
      </c>
      <c r="J24" s="1" t="s">
        <v>440</v>
      </c>
      <c r="K24" s="1" t="s">
        <v>441</v>
      </c>
      <c r="L24" s="1">
        <f>L10+L5+E10*1000</f>
        <v>16800</v>
      </c>
      <c r="M24" s="1">
        <v>0</v>
      </c>
      <c r="N24" s="1">
        <v>0</v>
      </c>
    </row>
    <row r="25" spans="2:15" x14ac:dyDescent="0.45">
      <c r="B25" s="157" t="s">
        <v>351</v>
      </c>
      <c r="C25" s="157"/>
      <c r="D25" s="157"/>
      <c r="E25" s="157">
        <f>IF(E23="заб",_1!E14,_1!E26)</f>
        <v>0.35</v>
      </c>
      <c r="F25" s="156">
        <f>IF(F23="заб",_1!E14,_1!E26)</f>
        <v>0.35</v>
      </c>
      <c r="G25" s="156">
        <f>IF(G23="заб",_1!F14,_1!F26)</f>
        <v>0.35</v>
      </c>
      <c r="K25" s="1" t="s">
        <v>442</v>
      </c>
      <c r="L25" s="1">
        <f>L11</f>
        <v>0</v>
      </c>
      <c r="M25" s="1">
        <v>0</v>
      </c>
      <c r="N25" s="1">
        <v>0</v>
      </c>
    </row>
    <row r="26" spans="2:15" x14ac:dyDescent="0.45">
      <c r="B26" s="157" t="s">
        <v>415</v>
      </c>
      <c r="C26" s="157"/>
      <c r="D26" s="157"/>
      <c r="E26" s="9">
        <v>0.1</v>
      </c>
      <c r="F26" s="3">
        <v>0.1</v>
      </c>
      <c r="G26" s="3">
        <v>0.1</v>
      </c>
      <c r="J26" s="1">
        <v>7</v>
      </c>
      <c r="K26" s="1" t="s">
        <v>436</v>
      </c>
      <c r="L26" s="1">
        <f>L$24</f>
        <v>16800</v>
      </c>
      <c r="M26" s="1">
        <f>M$24</f>
        <v>0</v>
      </c>
      <c r="N26" s="1">
        <f>N$24</f>
        <v>0</v>
      </c>
    </row>
    <row r="27" spans="2:15" ht="14.65" thickBot="1" x14ac:dyDescent="0.5">
      <c r="B27" s="359" t="s">
        <v>414</v>
      </c>
      <c r="C27" s="359"/>
      <c r="D27" s="359"/>
      <c r="E27" s="9">
        <v>1</v>
      </c>
      <c r="F27" s="3">
        <v>1</v>
      </c>
      <c r="G27" s="3">
        <v>1</v>
      </c>
      <c r="K27" s="1" t="s">
        <v>437</v>
      </c>
      <c r="L27" s="1">
        <f>L$25</f>
        <v>0</v>
      </c>
      <c r="M27" s="1">
        <f>M$25</f>
        <v>0</v>
      </c>
      <c r="N27" s="1">
        <f>N$25</f>
        <v>0</v>
      </c>
    </row>
    <row r="28" spans="2:15" ht="15" customHeight="1" x14ac:dyDescent="0.45">
      <c r="B28" s="153" t="s">
        <v>12</v>
      </c>
      <c r="C28" s="157"/>
      <c r="D28" s="157">
        <f>SUM(E28:H28)</f>
        <v>38.700000000000003</v>
      </c>
      <c r="E28" s="153">
        <f>ROUNDUP(($E10+E30)*($E12+E30)*E29,1)</f>
        <v>12.9</v>
      </c>
      <c r="F28" s="152">
        <f>ROUNDUP(($E10+F30)*($E12+F30)*F29,1)</f>
        <v>12.9</v>
      </c>
      <c r="G28" s="152">
        <f>ROUNDUP(($E10+G30)*($E12+G30)*G29,1)</f>
        <v>12.9</v>
      </c>
      <c r="J28" s="1">
        <v>8</v>
      </c>
      <c r="K28" s="1" t="s">
        <v>436</v>
      </c>
      <c r="L28" s="1">
        <f>L$24</f>
        <v>16800</v>
      </c>
      <c r="M28" s="1">
        <f>M$24</f>
        <v>0</v>
      </c>
      <c r="N28" s="1">
        <f>N$24</f>
        <v>0</v>
      </c>
    </row>
    <row r="29" spans="2:15" ht="15" customHeight="1" x14ac:dyDescent="0.45">
      <c r="B29" s="157" t="s">
        <v>244</v>
      </c>
      <c r="C29" s="157"/>
      <c r="D29" s="157"/>
      <c r="E29" s="9">
        <v>0.2</v>
      </c>
      <c r="F29" s="3">
        <v>0.2</v>
      </c>
      <c r="G29" s="3">
        <v>0.2</v>
      </c>
      <c r="K29" s="1" t="s">
        <v>437</v>
      </c>
      <c r="L29" s="1">
        <f>L$25+E$18*1000</f>
        <v>700</v>
      </c>
      <c r="M29" s="1">
        <f>M$25+F$18*1000</f>
        <v>700</v>
      </c>
      <c r="N29" s="1">
        <f>N$25+G$18*1000</f>
        <v>700</v>
      </c>
    </row>
    <row r="30" spans="2:15" ht="15" customHeight="1" x14ac:dyDescent="0.45">
      <c r="B30" s="157" t="s">
        <v>245</v>
      </c>
      <c r="C30" s="157"/>
      <c r="D30" s="157"/>
      <c r="E30" s="9">
        <v>0.3</v>
      </c>
      <c r="F30" s="3">
        <v>0.3</v>
      </c>
      <c r="G30" s="3">
        <v>0.3</v>
      </c>
      <c r="J30" s="1">
        <v>9</v>
      </c>
      <c r="K30" s="1" t="s">
        <v>436</v>
      </c>
      <c r="L30" s="1">
        <f>L$24+E$15*1000</f>
        <v>17700</v>
      </c>
      <c r="M30" s="1">
        <f>M$24+F$15*1000</f>
        <v>900</v>
      </c>
      <c r="N30" s="1">
        <f>N$24+G$15*1000</f>
        <v>900</v>
      </c>
    </row>
    <row r="31" spans="2:15" ht="15" customHeight="1" x14ac:dyDescent="0.45">
      <c r="B31" s="161" t="s">
        <v>13</v>
      </c>
      <c r="C31" s="161"/>
      <c r="D31" s="161"/>
      <c r="E31" s="361"/>
      <c r="F31" s="379"/>
      <c r="G31" s="379"/>
      <c r="K31" s="1" t="s">
        <v>437</v>
      </c>
      <c r="L31" s="1">
        <f>L$25+E$17*1000</f>
        <v>1000</v>
      </c>
      <c r="M31" s="1">
        <f>M$25+F$17*1000</f>
        <v>1145</v>
      </c>
      <c r="N31" s="1">
        <f>N$25+G$17*1000</f>
        <v>1145</v>
      </c>
    </row>
    <row r="32" spans="2:15" ht="15" customHeight="1" x14ac:dyDescent="0.45">
      <c r="B32" s="164" t="s">
        <v>9</v>
      </c>
      <c r="C32" s="157"/>
      <c r="D32" s="157">
        <f>SUM(E32:H32)</f>
        <v>18.899999999999999</v>
      </c>
      <c r="E32" s="164">
        <f>ROUNDUP(($E10+E34)*($E12+E34)*E33,1)</f>
        <v>6.3</v>
      </c>
      <c r="F32" s="163">
        <f>ROUNDUP(($E10+F34)*($E12+F34)*F33,1)</f>
        <v>6.3</v>
      </c>
      <c r="G32" s="156">
        <f>ROUNDUP(($E10+G34)*($E12+G34)*G33,1)</f>
        <v>6.3</v>
      </c>
      <c r="J32" s="1">
        <v>10</v>
      </c>
      <c r="K32" s="1" t="s">
        <v>436</v>
      </c>
      <c r="L32" s="1">
        <f>L$24+$E$15*1000</f>
        <v>17700</v>
      </c>
      <c r="M32" s="1">
        <f>M$24+$E$15*1000</f>
        <v>900</v>
      </c>
      <c r="N32" s="1">
        <f>N$24+$E$15*1000</f>
        <v>900</v>
      </c>
    </row>
    <row r="33" spans="2:15" ht="15" customHeight="1" x14ac:dyDescent="0.45">
      <c r="B33" s="157" t="s">
        <v>244</v>
      </c>
      <c r="C33" s="157"/>
      <c r="D33" s="157"/>
      <c r="E33" s="9">
        <v>0.1</v>
      </c>
      <c r="F33" s="3">
        <v>0.1</v>
      </c>
      <c r="G33" s="3">
        <v>0.1</v>
      </c>
      <c r="K33" s="1" t="s">
        <v>437</v>
      </c>
      <c r="L33" s="1">
        <f>L$25+E$11*1000</f>
        <v>2450</v>
      </c>
      <c r="M33" s="1">
        <f>M$25+F$11*1000</f>
        <v>5000</v>
      </c>
      <c r="N33" s="1">
        <f>N$25+G$11*1000</f>
        <v>5000</v>
      </c>
    </row>
    <row r="34" spans="2:15" ht="15" customHeight="1" x14ac:dyDescent="0.45">
      <c r="B34" s="157" t="s">
        <v>245</v>
      </c>
      <c r="C34" s="157"/>
      <c r="D34" s="157"/>
      <c r="E34" s="9">
        <v>0.2</v>
      </c>
      <c r="F34" s="3">
        <v>0.2</v>
      </c>
      <c r="G34" s="379">
        <v>0.2</v>
      </c>
      <c r="J34" s="1">
        <v>11</v>
      </c>
      <c r="K34" s="1" t="s">
        <v>436</v>
      </c>
      <c r="L34" s="1">
        <f>L$24+E$15*1000+E$14*1000</f>
        <v>18100</v>
      </c>
      <c r="M34" s="1">
        <f>M$24+F$15*1000+F$14*1000</f>
        <v>1300</v>
      </c>
      <c r="N34" s="1">
        <f>N$24+G$15*1000+G$14*1000</f>
        <v>1300</v>
      </c>
    </row>
    <row r="35" spans="2:15" x14ac:dyDescent="0.45">
      <c r="B35" s="164" t="s">
        <v>433</v>
      </c>
      <c r="C35" s="164"/>
      <c r="D35" s="163">
        <f>SUM(E35:H35)</f>
        <v>173.8</v>
      </c>
      <c r="E35" s="366">
        <f>ROUND(E$10*(E$12+E$11)*0.5,1)</f>
        <v>44</v>
      </c>
      <c r="F35" s="163">
        <f>ROUND(F$10*(F$12+F$11)*0.5,1)</f>
        <v>59</v>
      </c>
      <c r="G35" s="156">
        <f>ROUND(G$10*(G$12+G$11)*0.5,1)</f>
        <v>70.8</v>
      </c>
      <c r="K35" s="1" t="s">
        <v>437</v>
      </c>
      <c r="L35" s="1">
        <f>L$25+E$11*1000</f>
        <v>2450</v>
      </c>
      <c r="M35" s="1">
        <f>M$25+F$11*1000</f>
        <v>5000</v>
      </c>
      <c r="N35" s="1">
        <f>N$25+G$11*1000</f>
        <v>5000</v>
      </c>
    </row>
    <row r="36" spans="2:15" x14ac:dyDescent="0.45">
      <c r="B36" s="157" t="s">
        <v>434</v>
      </c>
      <c r="C36" s="157"/>
      <c r="D36" s="157">
        <f>SUM(E36:H36)</f>
        <v>173.8</v>
      </c>
      <c r="E36" s="365">
        <f>E35</f>
        <v>44</v>
      </c>
      <c r="F36" s="156">
        <f>F35</f>
        <v>59</v>
      </c>
      <c r="G36" s="156">
        <f>G35</f>
        <v>70.8</v>
      </c>
      <c r="J36" s="1">
        <v>12</v>
      </c>
      <c r="K36" s="1" t="s">
        <v>436</v>
      </c>
      <c r="L36" s="1">
        <f>L$24+E$15*1000+E$16*1000</f>
        <v>18520</v>
      </c>
      <c r="M36" s="1">
        <f>M$24+F$15*1000+F$16*1000</f>
        <v>1720</v>
      </c>
      <c r="N36" s="1">
        <f>N$24+G$15*1000+G$16*1000</f>
        <v>1720</v>
      </c>
    </row>
    <row r="37" spans="2:15" x14ac:dyDescent="0.45">
      <c r="B37" s="157" t="s">
        <v>342</v>
      </c>
      <c r="C37" s="157"/>
      <c r="D37" s="157"/>
      <c r="E37" s="9">
        <v>0.15</v>
      </c>
      <c r="F37" s="3">
        <v>0.15</v>
      </c>
      <c r="G37" s="3">
        <v>0.15</v>
      </c>
      <c r="K37" s="1" t="s">
        <v>437</v>
      </c>
      <c r="L37" s="1">
        <f>L$25+E$19*1000</f>
        <v>1000</v>
      </c>
      <c r="M37" s="1">
        <f>M$25+F$19*1000</f>
        <v>1000</v>
      </c>
      <c r="N37" s="1">
        <f>N$25+G$19*1000</f>
        <v>1000</v>
      </c>
    </row>
    <row r="38" spans="2:15" x14ac:dyDescent="0.45">
      <c r="B38" s="157" t="s">
        <v>362</v>
      </c>
      <c r="C38" s="157"/>
      <c r="D38" s="157"/>
      <c r="E38" s="9">
        <f>_1!E5</f>
        <v>139.30000000000001</v>
      </c>
      <c r="F38" s="3">
        <f>_1!E5</f>
        <v>139.30000000000001</v>
      </c>
      <c r="G38" s="3">
        <f>_1!F5</f>
        <v>139.30000000000001</v>
      </c>
      <c r="J38" s="1">
        <v>13</v>
      </c>
      <c r="K38" s="1" t="s">
        <v>436</v>
      </c>
      <c r="L38" s="1">
        <f>L$24+E$13*1000</f>
        <v>20800</v>
      </c>
      <c r="M38" s="1">
        <f>M$24+F$13*1000</f>
        <v>4000</v>
      </c>
      <c r="N38" s="1">
        <f>N$24+G$13*1000</f>
        <v>4000</v>
      </c>
    </row>
    <row r="39" spans="2:15" x14ac:dyDescent="0.45">
      <c r="B39" s="7" t="s">
        <v>366</v>
      </c>
      <c r="C39" s="7"/>
      <c r="D39" s="157"/>
      <c r="E39" s="9">
        <v>0</v>
      </c>
      <c r="F39" s="3">
        <v>0</v>
      </c>
      <c r="G39" s="3">
        <v>0</v>
      </c>
      <c r="K39" s="1" t="s">
        <v>437</v>
      </c>
      <c r="L39" s="1">
        <f>L$25+E$20*1000</f>
        <v>600</v>
      </c>
      <c r="M39" s="1">
        <f>M$25+F$20*1000</f>
        <v>600</v>
      </c>
      <c r="N39" s="1">
        <f>N$25+G$20*1000</f>
        <v>600</v>
      </c>
    </row>
    <row r="40" spans="2:15" x14ac:dyDescent="0.45">
      <c r="B40" s="161" t="s">
        <v>344</v>
      </c>
      <c r="C40" s="161"/>
      <c r="D40" s="161"/>
      <c r="E40" s="361">
        <v>1</v>
      </c>
      <c r="F40" s="379">
        <v>1</v>
      </c>
      <c r="G40" s="379">
        <v>1</v>
      </c>
      <c r="J40" s="1">
        <v>14</v>
      </c>
      <c r="K40" s="1" t="s">
        <v>436</v>
      </c>
      <c r="L40" s="1">
        <f>L$24+E$13*1000</f>
        <v>20800</v>
      </c>
      <c r="M40" s="1">
        <f>M$24+F$13*1000</f>
        <v>4000</v>
      </c>
      <c r="N40" s="1">
        <f>N$24+G$13*1000</f>
        <v>4000</v>
      </c>
    </row>
    <row r="41" spans="2:15" x14ac:dyDescent="0.45">
      <c r="B41" s="7" t="s">
        <v>408</v>
      </c>
      <c r="C41" s="7"/>
      <c r="D41" s="157">
        <f>D8-1</f>
        <v>2</v>
      </c>
      <c r="E41" s="157">
        <f>IF(G8&gt;0,1,0)</f>
        <v>1</v>
      </c>
      <c r="F41" s="156">
        <f>IF(G8&gt;0,1,0)</f>
        <v>1</v>
      </c>
      <c r="G41" s="156">
        <f>IF(H8&gt;0,1,0)</f>
        <v>0</v>
      </c>
      <c r="J41" s="313"/>
      <c r="K41" s="313" t="s">
        <v>437</v>
      </c>
      <c r="L41" s="313">
        <f>L$25</f>
        <v>0</v>
      </c>
      <c r="M41" s="313">
        <f>M$25</f>
        <v>0</v>
      </c>
      <c r="N41" s="313">
        <f>N$25</f>
        <v>0</v>
      </c>
      <c r="O41" s="313"/>
    </row>
    <row r="42" spans="2:15" x14ac:dyDescent="0.45">
      <c r="B42" s="157" t="s">
        <v>438</v>
      </c>
      <c r="C42" s="157"/>
      <c r="D42" s="157"/>
      <c r="E42" s="157">
        <f>0.02*0.01</f>
        <v>2.0000000000000001E-4</v>
      </c>
      <c r="F42" s="156">
        <f>0.02*0.01</f>
        <v>2.0000000000000001E-4</v>
      </c>
      <c r="G42" s="156">
        <f>0.02*0.01</f>
        <v>2.0000000000000001E-4</v>
      </c>
      <c r="I42" s="173" t="s">
        <v>447</v>
      </c>
      <c r="J42" s="1" t="s">
        <v>440</v>
      </c>
      <c r="K42" s="1" t="s">
        <v>441</v>
      </c>
      <c r="L42" s="1">
        <f>L24+L5+E13*1000</f>
        <v>25800</v>
      </c>
      <c r="M42" s="1">
        <v>0</v>
      </c>
      <c r="N42" s="1">
        <v>0</v>
      </c>
    </row>
    <row r="43" spans="2:15" x14ac:dyDescent="0.45">
      <c r="B43" s="157" t="s">
        <v>411</v>
      </c>
      <c r="C43" s="157"/>
      <c r="D43" s="157"/>
      <c r="E43" s="9">
        <v>1</v>
      </c>
      <c r="F43" s="3">
        <v>1</v>
      </c>
      <c r="G43" s="3">
        <v>1</v>
      </c>
      <c r="K43" s="1" t="s">
        <v>442</v>
      </c>
      <c r="L43" s="1">
        <f>L25</f>
        <v>0</v>
      </c>
      <c r="M43" s="1">
        <v>0</v>
      </c>
      <c r="N43" s="1">
        <v>0</v>
      </c>
    </row>
    <row r="44" spans="2:15" x14ac:dyDescent="0.45">
      <c r="B44" s="157" t="s">
        <v>412</v>
      </c>
      <c r="C44" s="157"/>
      <c r="D44" s="157"/>
      <c r="E44" s="9">
        <v>0</v>
      </c>
      <c r="F44" s="3">
        <v>0</v>
      </c>
      <c r="G44" s="3">
        <v>0</v>
      </c>
      <c r="J44" s="1">
        <v>15</v>
      </c>
      <c r="K44" s="1" t="s">
        <v>436</v>
      </c>
      <c r="L44" s="1">
        <f>L$42</f>
        <v>25800</v>
      </c>
      <c r="M44" s="1">
        <f>M$42</f>
        <v>0</v>
      </c>
      <c r="N44" s="1">
        <f>N$42</f>
        <v>0</v>
      </c>
    </row>
    <row r="45" spans="2:15" ht="14.65" thickBot="1" x14ac:dyDescent="0.5">
      <c r="B45" s="359" t="s">
        <v>413</v>
      </c>
      <c r="C45" s="359"/>
      <c r="D45" s="359"/>
      <c r="E45" s="63">
        <v>0</v>
      </c>
      <c r="F45" s="274">
        <v>0</v>
      </c>
      <c r="G45" s="274">
        <v>0</v>
      </c>
      <c r="K45" s="1" t="s">
        <v>437</v>
      </c>
      <c r="L45" s="1">
        <f>L$43</f>
        <v>0</v>
      </c>
      <c r="M45" s="1">
        <f>M$43</f>
        <v>0</v>
      </c>
      <c r="N45" s="1">
        <f>N$43</f>
        <v>0</v>
      </c>
    </row>
    <row r="46" spans="2:15" x14ac:dyDescent="0.45">
      <c r="J46" s="1">
        <v>16</v>
      </c>
      <c r="K46" s="1" t="s">
        <v>436</v>
      </c>
      <c r="L46" s="1">
        <f>L$42</f>
        <v>25800</v>
      </c>
      <c r="M46" s="1">
        <f>M$42</f>
        <v>0</v>
      </c>
      <c r="N46" s="1">
        <f>N$42</f>
        <v>0</v>
      </c>
    </row>
    <row r="47" spans="2:15" x14ac:dyDescent="0.45">
      <c r="K47" s="1" t="s">
        <v>437</v>
      </c>
      <c r="L47" s="1">
        <f>L$43+E$18*1000</f>
        <v>700</v>
      </c>
      <c r="M47" s="1">
        <f>M$43+F$18*1000</f>
        <v>700</v>
      </c>
      <c r="N47" s="1">
        <f>N$43+G$18*1000</f>
        <v>700</v>
      </c>
    </row>
    <row r="48" spans="2:15" x14ac:dyDescent="0.45">
      <c r="J48" s="1">
        <v>17</v>
      </c>
      <c r="K48" s="1" t="s">
        <v>436</v>
      </c>
      <c r="L48" s="1">
        <f>L$42+E$15*1000</f>
        <v>26700</v>
      </c>
      <c r="M48" s="1">
        <f>M$42+F$15*1000</f>
        <v>900</v>
      </c>
      <c r="N48" s="1">
        <f>N$42+G$15*1000</f>
        <v>900</v>
      </c>
    </row>
    <row r="49" spans="9:15" x14ac:dyDescent="0.45">
      <c r="K49" s="1" t="s">
        <v>437</v>
      </c>
      <c r="L49" s="1">
        <f>L$43+E$17*1000</f>
        <v>1000</v>
      </c>
      <c r="M49" s="1">
        <f>M$43+F$17*1000</f>
        <v>1145</v>
      </c>
      <c r="N49" s="1">
        <f>N$43+G$17*1000</f>
        <v>1145</v>
      </c>
    </row>
    <row r="50" spans="9:15" x14ac:dyDescent="0.45">
      <c r="J50" s="1">
        <v>18</v>
      </c>
      <c r="K50" s="1" t="s">
        <v>436</v>
      </c>
      <c r="L50" s="1">
        <f>L$42+$E$15*1000</f>
        <v>26700</v>
      </c>
      <c r="M50" s="1">
        <f>M$42+$E$15*1000</f>
        <v>900</v>
      </c>
      <c r="N50" s="1">
        <f>N$42+$E$15*1000</f>
        <v>900</v>
      </c>
    </row>
    <row r="51" spans="9:15" x14ac:dyDescent="0.45">
      <c r="K51" s="1" t="s">
        <v>437</v>
      </c>
      <c r="L51" s="1">
        <f>L$43+E$12*1000</f>
        <v>5000</v>
      </c>
      <c r="M51" s="1">
        <f>M$43+F$12*1000</f>
        <v>5000</v>
      </c>
      <c r="N51" s="1">
        <f>N$43+G$12*1000</f>
        <v>7000</v>
      </c>
    </row>
    <row r="52" spans="9:15" x14ac:dyDescent="0.45">
      <c r="J52" s="1">
        <v>19</v>
      </c>
      <c r="K52" s="1" t="s">
        <v>436</v>
      </c>
      <c r="L52" s="1">
        <f>L$42+E$15*1000+E$14*1000</f>
        <v>27100</v>
      </c>
      <c r="M52" s="1">
        <f>M$42+F$15*1000+F$14*1000</f>
        <v>1300</v>
      </c>
      <c r="N52" s="1">
        <f>N$42+G$15*1000+G$14*1000</f>
        <v>1300</v>
      </c>
    </row>
    <row r="53" spans="9:15" x14ac:dyDescent="0.45">
      <c r="K53" s="1" t="s">
        <v>437</v>
      </c>
      <c r="L53" s="1">
        <f>L$43+E$12*1000</f>
        <v>5000</v>
      </c>
      <c r="M53" s="1">
        <f>M$43+F$12*1000</f>
        <v>5000</v>
      </c>
      <c r="N53" s="1">
        <f>N$43+G$12*1000</f>
        <v>7000</v>
      </c>
    </row>
    <row r="54" spans="9:15" x14ac:dyDescent="0.45">
      <c r="J54" s="1">
        <v>20</v>
      </c>
      <c r="K54" s="1" t="s">
        <v>436</v>
      </c>
      <c r="L54" s="1">
        <f>L$42+E$15*1000+E$16*1000</f>
        <v>27520</v>
      </c>
      <c r="M54" s="1">
        <f>M$42+F$15*1000+F$16*1000</f>
        <v>1720</v>
      </c>
      <c r="N54" s="1">
        <f>N$42+G$15*1000+G$16*1000</f>
        <v>1720</v>
      </c>
    </row>
    <row r="55" spans="9:15" x14ac:dyDescent="0.45">
      <c r="K55" s="1" t="s">
        <v>437</v>
      </c>
      <c r="L55" s="1">
        <f>L$43+E$19*1000</f>
        <v>1000</v>
      </c>
      <c r="M55" s="1">
        <f>M$43+F$19*1000</f>
        <v>1000</v>
      </c>
      <c r="N55" s="1">
        <f>N$43+G$19*1000</f>
        <v>1000</v>
      </c>
    </row>
    <row r="56" spans="9:15" x14ac:dyDescent="0.45">
      <c r="J56" s="1">
        <v>21</v>
      </c>
      <c r="K56" s="1" t="s">
        <v>436</v>
      </c>
      <c r="L56" s="1">
        <f>L$42+E$13*1000</f>
        <v>29800</v>
      </c>
      <c r="M56" s="1">
        <f>M$42+F$13*1000</f>
        <v>4000</v>
      </c>
      <c r="N56" s="1">
        <f>N$42+G$13*1000</f>
        <v>4000</v>
      </c>
    </row>
    <row r="57" spans="9:15" x14ac:dyDescent="0.45">
      <c r="K57" s="1" t="s">
        <v>437</v>
      </c>
      <c r="L57" s="1">
        <f>L$43+E$20*1000</f>
        <v>600</v>
      </c>
      <c r="M57" s="1">
        <f>M$43+F$20*1000</f>
        <v>600</v>
      </c>
      <c r="N57" s="1">
        <f>N$43+G$20*1000</f>
        <v>600</v>
      </c>
    </row>
    <row r="58" spans="9:15" x14ac:dyDescent="0.45">
      <c r="J58" s="1">
        <v>22</v>
      </c>
      <c r="K58" s="1" t="s">
        <v>436</v>
      </c>
      <c r="L58" s="1">
        <f>L$42+E$13*1000</f>
        <v>29800</v>
      </c>
      <c r="M58" s="1">
        <f>M$42+F$13*1000</f>
        <v>4000</v>
      </c>
      <c r="N58" s="1">
        <f>N$42+G$13*1000</f>
        <v>4000</v>
      </c>
    </row>
    <row r="59" spans="9:15" x14ac:dyDescent="0.45">
      <c r="J59" s="313"/>
      <c r="K59" s="313" t="s">
        <v>437</v>
      </c>
      <c r="L59" s="313">
        <f>L$43</f>
        <v>0</v>
      </c>
      <c r="M59" s="313">
        <f>M$43</f>
        <v>0</v>
      </c>
      <c r="N59" s="313">
        <f>N$43</f>
        <v>0</v>
      </c>
      <c r="O59" s="313"/>
    </row>
    <row r="60" spans="9:15" x14ac:dyDescent="0.45">
      <c r="I60" s="1" t="s">
        <v>448</v>
      </c>
      <c r="J60" s="1" t="s">
        <v>440</v>
      </c>
      <c r="K60" s="1" t="s">
        <v>441</v>
      </c>
      <c r="L60" s="1">
        <f>L10</f>
        <v>0</v>
      </c>
      <c r="M60" s="1">
        <v>0</v>
      </c>
      <c r="N60" s="1">
        <v>0</v>
      </c>
    </row>
    <row r="61" spans="9:15" x14ac:dyDescent="0.45">
      <c r="K61" s="1" t="s">
        <v>442</v>
      </c>
      <c r="L61" s="1">
        <f>L11-L4</f>
        <v>-10000</v>
      </c>
      <c r="M61" s="1">
        <v>0</v>
      </c>
      <c r="N61" s="1">
        <v>0</v>
      </c>
    </row>
    <row r="62" spans="9:15" x14ac:dyDescent="0.45">
      <c r="J62" s="1">
        <v>23</v>
      </c>
      <c r="K62" s="1" t="s">
        <v>436</v>
      </c>
      <c r="L62" s="1">
        <f>L$60</f>
        <v>0</v>
      </c>
      <c r="M62" s="1">
        <f>M$60</f>
        <v>0</v>
      </c>
      <c r="N62" s="1">
        <f>N$60</f>
        <v>0</v>
      </c>
    </row>
    <row r="63" spans="9:15" x14ac:dyDescent="0.45">
      <c r="K63" s="1" t="s">
        <v>437</v>
      </c>
      <c r="L63" s="1">
        <f>L$61</f>
        <v>-10000</v>
      </c>
      <c r="M63" s="1">
        <f>M$61</f>
        <v>0</v>
      </c>
      <c r="N63" s="1">
        <f>N$61</f>
        <v>0</v>
      </c>
    </row>
    <row r="64" spans="9:15" x14ac:dyDescent="0.45">
      <c r="J64" s="1">
        <v>24</v>
      </c>
      <c r="K64" s="1" t="s">
        <v>436</v>
      </c>
      <c r="L64" s="1">
        <f>L$60</f>
        <v>0</v>
      </c>
      <c r="M64" s="1">
        <f>M$60</f>
        <v>0</v>
      </c>
      <c r="N64" s="1">
        <f>N$60</f>
        <v>0</v>
      </c>
    </row>
    <row r="65" spans="10:14" x14ac:dyDescent="0.45">
      <c r="K65" s="1" t="s">
        <v>437</v>
      </c>
      <c r="L65" s="1">
        <f>L$61+E13*1000</f>
        <v>-6000</v>
      </c>
      <c r="M65" s="1">
        <f>M$61+F13*1000</f>
        <v>4000</v>
      </c>
      <c r="N65" s="1">
        <f>N$61+G13*1000</f>
        <v>4000</v>
      </c>
    </row>
    <row r="66" spans="10:14" x14ac:dyDescent="0.45">
      <c r="J66" s="1">
        <v>25</v>
      </c>
      <c r="K66" s="1" t="s">
        <v>436</v>
      </c>
      <c r="L66" s="1">
        <f>L$60+E10*1000</f>
        <v>11800</v>
      </c>
      <c r="M66" s="1">
        <f>M$60+F10*1000</f>
        <v>11800</v>
      </c>
      <c r="N66" s="1">
        <f>N$60+G10*1000</f>
        <v>11800</v>
      </c>
    </row>
    <row r="67" spans="10:14" x14ac:dyDescent="0.45">
      <c r="K67" s="1" t="s">
        <v>437</v>
      </c>
      <c r="L67" s="1">
        <f>L$61+E13*1000</f>
        <v>-6000</v>
      </c>
      <c r="M67" s="1">
        <f>M$61+F13*1000</f>
        <v>4000</v>
      </c>
      <c r="N67" s="1">
        <f>N$61+G13*1000</f>
        <v>4000</v>
      </c>
    </row>
    <row r="68" spans="10:14" x14ac:dyDescent="0.45">
      <c r="J68" s="1">
        <v>26</v>
      </c>
      <c r="K68" s="1" t="s">
        <v>436</v>
      </c>
      <c r="L68" s="1">
        <f>L$60+E10*1000</f>
        <v>11800</v>
      </c>
      <c r="M68" s="1">
        <f>M$60+F10*1000</f>
        <v>11800</v>
      </c>
      <c r="N68" s="1">
        <f>N$60+G10*1000</f>
        <v>11800</v>
      </c>
    </row>
    <row r="69" spans="10:14" x14ac:dyDescent="0.45">
      <c r="K69" s="1" t="s">
        <v>437</v>
      </c>
      <c r="L69" s="1">
        <f>L$61</f>
        <v>-10000</v>
      </c>
      <c r="M69" s="1">
        <f>M$61</f>
        <v>0</v>
      </c>
      <c r="N69" s="1">
        <f>N$61</f>
        <v>0</v>
      </c>
    </row>
    <row r="70" spans="10:14" x14ac:dyDescent="0.45">
      <c r="J70" s="1">
        <v>27</v>
      </c>
      <c r="K70" s="1" t="s">
        <v>436</v>
      </c>
      <c r="L70" s="1">
        <f>L$60</f>
        <v>0</v>
      </c>
      <c r="M70" s="1">
        <f>M$60</f>
        <v>0</v>
      </c>
      <c r="N70" s="1">
        <f>N$60</f>
        <v>0</v>
      </c>
    </row>
    <row r="71" spans="10:14" x14ac:dyDescent="0.45">
      <c r="K71" s="1" t="s">
        <v>437</v>
      </c>
      <c r="L71" s="1">
        <f>L$61+E15*1000</f>
        <v>-9100</v>
      </c>
      <c r="M71" s="1">
        <f>M$61+F15*1000</f>
        <v>900</v>
      </c>
      <c r="N71" s="1">
        <f>N$61+G15*1000</f>
        <v>900</v>
      </c>
    </row>
    <row r="72" spans="10:14" x14ac:dyDescent="0.45">
      <c r="J72" s="1">
        <v>28</v>
      </c>
      <c r="K72" s="1" t="s">
        <v>436</v>
      </c>
      <c r="L72" s="1">
        <f>L$60</f>
        <v>0</v>
      </c>
      <c r="M72" s="1">
        <f>M$60</f>
        <v>0</v>
      </c>
      <c r="N72" s="1">
        <f>N$60</f>
        <v>0</v>
      </c>
    </row>
    <row r="73" spans="10:14" x14ac:dyDescent="0.45">
      <c r="K73" s="1" t="s">
        <v>437</v>
      </c>
      <c r="L73" s="1">
        <f>L$61+E15*1000+E16*1000</f>
        <v>-8280</v>
      </c>
      <c r="M73" s="1">
        <f>M$61+F15*1000+F16*1000</f>
        <v>1720</v>
      </c>
      <c r="N73" s="1">
        <f>N$61+G15*1000+G16*1000</f>
        <v>1720</v>
      </c>
    </row>
    <row r="74" spans="10:14" x14ac:dyDescent="0.45">
      <c r="J74" s="1">
        <v>29</v>
      </c>
      <c r="K74" s="1" t="s">
        <v>436</v>
      </c>
      <c r="L74" s="1">
        <f>L$60+E10*1000</f>
        <v>11800</v>
      </c>
      <c r="M74" s="1">
        <f>M$60+F10*1000</f>
        <v>11800</v>
      </c>
      <c r="N74" s="1">
        <f>N$60+G10*1000</f>
        <v>11800</v>
      </c>
    </row>
    <row r="75" spans="10:14" x14ac:dyDescent="0.45">
      <c r="K75" s="1" t="s">
        <v>437</v>
      </c>
      <c r="L75" s="1">
        <f>L$61+E15*1000+E16*1000</f>
        <v>-8280</v>
      </c>
      <c r="M75" s="1">
        <f>M$61+F15*1000+F16*1000</f>
        <v>1720</v>
      </c>
      <c r="N75" s="1">
        <f>N$61+G15*1000+G16*1000</f>
        <v>1720</v>
      </c>
    </row>
    <row r="76" spans="10:14" x14ac:dyDescent="0.45">
      <c r="J76" s="1">
        <v>30</v>
      </c>
      <c r="K76" s="1" t="s">
        <v>436</v>
      </c>
      <c r="L76" s="1">
        <f>L$60+E10*1000</f>
        <v>11800</v>
      </c>
      <c r="M76" s="1">
        <f>M$60+F10*1000</f>
        <v>11800</v>
      </c>
      <c r="N76" s="1">
        <f>N$60+G10*1000</f>
        <v>11800</v>
      </c>
    </row>
    <row r="77" spans="10:14" x14ac:dyDescent="0.45">
      <c r="K77" s="1" t="s">
        <v>437</v>
      </c>
      <c r="L77" s="1">
        <f>L$61+E15*1000</f>
        <v>-9100</v>
      </c>
      <c r="M77" s="1">
        <f>M$61+F15*1000</f>
        <v>900</v>
      </c>
      <c r="N77" s="1">
        <f>N$61+G15*1000</f>
        <v>900</v>
      </c>
    </row>
    <row r="78" spans="10:14" x14ac:dyDescent="0.45">
      <c r="J78" s="1">
        <v>31</v>
      </c>
      <c r="K78" s="1" t="s">
        <v>436</v>
      </c>
      <c r="L78" s="1">
        <f>L$60</f>
        <v>0</v>
      </c>
      <c r="M78" s="1">
        <f>M$60</f>
        <v>0</v>
      </c>
      <c r="N78" s="1">
        <f>N$60</f>
        <v>0</v>
      </c>
    </row>
    <row r="79" spans="10:14" x14ac:dyDescent="0.45">
      <c r="K79" s="1" t="s">
        <v>437</v>
      </c>
      <c r="L79" s="1">
        <f>L$61+E15*1000+E14*1000</f>
        <v>-8700</v>
      </c>
      <c r="M79" s="1">
        <f>M$61+F15*1000+F14*1000</f>
        <v>1300</v>
      </c>
      <c r="N79" s="1">
        <f>N$61+G15*1000+G14*1000</f>
        <v>1300</v>
      </c>
    </row>
    <row r="80" spans="10:14" x14ac:dyDescent="0.45">
      <c r="J80" s="1">
        <v>32</v>
      </c>
      <c r="K80" s="1" t="s">
        <v>436</v>
      </c>
      <c r="L80" s="1">
        <f>L$60+E10*1000</f>
        <v>11800</v>
      </c>
      <c r="M80" s="1">
        <f>M$60+F10*1000</f>
        <v>11800</v>
      </c>
      <c r="N80" s="1">
        <f>N$60+G10*1000</f>
        <v>11800</v>
      </c>
    </row>
    <row r="81" spans="10:15" x14ac:dyDescent="0.45">
      <c r="J81" s="313"/>
      <c r="K81" s="313" t="s">
        <v>437</v>
      </c>
      <c r="L81" s="313">
        <f>L$61+E15*1000+E14*1000</f>
        <v>-8700</v>
      </c>
      <c r="M81" s="313">
        <f>M$61+F15*1000+F14*1000</f>
        <v>1300</v>
      </c>
      <c r="N81" s="313">
        <f>N$61+G15*1000+G14*1000</f>
        <v>1300</v>
      </c>
      <c r="O81" s="313"/>
    </row>
  </sheetData>
  <pageMargins left="0.7" right="0.7" top="0.75" bottom="0.75" header="0.3" footer="0.3"/>
  <pageSetup paperSize="9" orientation="portrait" verticalDpi="3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2:L87"/>
  <sheetViews>
    <sheetView workbookViewId="0">
      <selection activeCell="F95" sqref="F95"/>
    </sheetView>
  </sheetViews>
  <sheetFormatPr defaultColWidth="9.1328125" defaultRowHeight="14.25" x14ac:dyDescent="0.45"/>
  <cols>
    <col min="1" max="1" width="37.86328125" style="1" customWidth="1"/>
    <col min="2" max="2" width="5.6640625" style="1" customWidth="1"/>
    <col min="3" max="3" width="3.6640625" style="1" customWidth="1"/>
    <col min="4" max="4" width="4.6640625" style="15" customWidth="1"/>
    <col min="5" max="5" width="12" style="1" bestFit="1" customWidth="1"/>
    <col min="6" max="9" width="11.796875" style="1" customWidth="1"/>
    <col min="10" max="16384" width="9.1328125" style="1"/>
  </cols>
  <sheetData>
    <row r="2" spans="1:12" ht="15.4" x14ac:dyDescent="0.45">
      <c r="K2" s="25"/>
      <c r="L2" s="26"/>
    </row>
    <row r="3" spans="1:12" ht="18.75" x14ac:dyDescent="0.7">
      <c r="A3" s="238"/>
      <c r="B3" s="239"/>
    </row>
    <row r="4" spans="1:12" ht="15.4" x14ac:dyDescent="0.45">
      <c r="K4" s="27"/>
      <c r="L4" s="28"/>
    </row>
    <row r="6" spans="1:12" ht="14.65" thickBot="1" x14ac:dyDescent="0.5">
      <c r="K6" s="414" t="s">
        <v>27</v>
      </c>
    </row>
    <row r="7" spans="1:12" ht="28.8" customHeight="1" thickBot="1" x14ac:dyDescent="0.5">
      <c r="A7" s="11"/>
      <c r="B7" s="12"/>
      <c r="C7" s="12"/>
      <c r="D7" s="56"/>
      <c r="E7" s="2" t="s">
        <v>249</v>
      </c>
      <c r="F7" s="315" t="str">
        <f>_ПС!E6</f>
        <v>Ст1.1</v>
      </c>
      <c r="G7" s="181" t="str">
        <f>_ПС!F6</f>
        <v>Ст1.2</v>
      </c>
      <c r="H7" s="182" t="str">
        <f>_ПС!G6</f>
        <v>Ст1.3</v>
      </c>
      <c r="K7" s="414"/>
    </row>
    <row r="8" spans="1:12" x14ac:dyDescent="0.45">
      <c r="A8" s="57" t="s">
        <v>12</v>
      </c>
      <c r="B8" s="16"/>
      <c r="C8" s="16"/>
      <c r="D8" s="18"/>
      <c r="E8" s="342">
        <f>SUM(F8:H8)</f>
        <v>25.8</v>
      </c>
      <c r="F8" s="4">
        <f>_ПС!E$28</f>
        <v>12.9</v>
      </c>
      <c r="G8" s="5">
        <f>_ПС!G$28</f>
        <v>12.9</v>
      </c>
      <c r="H8" s="6">
        <f>_ПС!H$28</f>
        <v>0</v>
      </c>
      <c r="K8" s="24">
        <f t="shared" ref="K8:K38" si="0">IF(E8=0,0,1)</f>
        <v>1</v>
      </c>
    </row>
    <row r="9" spans="1:12" x14ac:dyDescent="0.45">
      <c r="A9" s="57" t="s">
        <v>14</v>
      </c>
      <c r="B9" s="16"/>
      <c r="C9" s="16"/>
      <c r="D9" s="18"/>
      <c r="E9" s="345">
        <f t="shared" ref="E9:E42" si="1">SUM(F9:H9)</f>
        <v>0</v>
      </c>
      <c r="F9" s="7">
        <f>_ПС!E$31</f>
        <v>0</v>
      </c>
      <c r="G9" s="1">
        <f>_ПС!G$31</f>
        <v>0</v>
      </c>
      <c r="H9" s="8">
        <f>_ПС!H$31</f>
        <v>0</v>
      </c>
      <c r="K9" s="24">
        <f t="shared" si="0"/>
        <v>0</v>
      </c>
    </row>
    <row r="10" spans="1:12" ht="14.65" thickBot="1" x14ac:dyDescent="0.5">
      <c r="A10" s="57" t="s">
        <v>9</v>
      </c>
      <c r="B10" s="16"/>
      <c r="C10" s="16"/>
      <c r="D10" s="18"/>
      <c r="E10" s="345">
        <f t="shared" si="1"/>
        <v>12.6</v>
      </c>
      <c r="F10" s="7">
        <f>_ПС!E$32</f>
        <v>6.3</v>
      </c>
      <c r="G10" s="1">
        <f>_ПС!G$32</f>
        <v>6.3</v>
      </c>
      <c r="H10" s="8">
        <f>_ПС!H$32</f>
        <v>0</v>
      </c>
      <c r="K10" s="24">
        <f t="shared" si="0"/>
        <v>1</v>
      </c>
    </row>
    <row r="11" spans="1:12" x14ac:dyDescent="0.45">
      <c r="A11" s="267" t="s">
        <v>417</v>
      </c>
      <c r="B11" s="268" t="s">
        <v>35</v>
      </c>
      <c r="C11" s="154"/>
      <c r="D11" s="269"/>
      <c r="E11" s="342">
        <f t="shared" si="1"/>
        <v>79</v>
      </c>
      <c r="F11" s="4">
        <f>_ПС!E$21</f>
        <v>37.800000000000004</v>
      </c>
      <c r="G11" s="5">
        <f>_ПС!G$21</f>
        <v>41.2</v>
      </c>
      <c r="H11" s="6">
        <f>_ПС!H$21</f>
        <v>0</v>
      </c>
      <c r="K11" s="24">
        <f t="shared" si="0"/>
        <v>1</v>
      </c>
    </row>
    <row r="12" spans="1:12" x14ac:dyDescent="0.4">
      <c r="A12" s="83" t="s">
        <v>26</v>
      </c>
      <c r="B12" s="169" t="s">
        <v>338</v>
      </c>
      <c r="C12" s="52" t="s">
        <v>145</v>
      </c>
      <c r="D12" s="84">
        <v>3</v>
      </c>
      <c r="E12" s="345" t="e">
        <f t="shared" ca="1" si="1"/>
        <v>#REF!</v>
      </c>
      <c r="F12" s="367" t="e">
        <f ca="1">INDIRECT(ADDRESS(5,4,,,_ПС!E$5))</f>
        <v>#REF!</v>
      </c>
      <c r="G12" s="10"/>
      <c r="H12" s="230"/>
      <c r="K12" s="24" t="e">
        <f t="shared" ca="1" si="0"/>
        <v>#REF!</v>
      </c>
    </row>
    <row r="13" spans="1:12" x14ac:dyDescent="0.4">
      <c r="A13" s="83" t="s">
        <v>26</v>
      </c>
      <c r="B13" s="169" t="s">
        <v>338</v>
      </c>
      <c r="C13" s="52" t="s">
        <v>145</v>
      </c>
      <c r="D13" s="84">
        <v>4</v>
      </c>
      <c r="E13" s="345" t="e">
        <f t="shared" ca="1" si="1"/>
        <v>#REF!</v>
      </c>
      <c r="F13" s="367" t="e">
        <f ca="1">INDIRECT(ADDRESS(6,4,,,_ПС!E$5))</f>
        <v>#REF!</v>
      </c>
      <c r="G13" s="10"/>
      <c r="H13" s="230"/>
      <c r="K13" s="24" t="e">
        <f t="shared" ca="1" si="0"/>
        <v>#REF!</v>
      </c>
    </row>
    <row r="14" spans="1:12" x14ac:dyDescent="0.4">
      <c r="A14" s="83" t="s">
        <v>26</v>
      </c>
      <c r="B14" s="169" t="s">
        <v>338</v>
      </c>
      <c r="C14" s="52" t="s">
        <v>145</v>
      </c>
      <c r="D14" s="84">
        <v>5</v>
      </c>
      <c r="E14" s="345" t="e">
        <f t="shared" ca="1" si="1"/>
        <v>#REF!</v>
      </c>
      <c r="F14" s="367" t="e">
        <f ca="1">INDIRECT(ADDRESS(7,4,,,_ПС!E$5))</f>
        <v>#REF!</v>
      </c>
      <c r="G14" s="10"/>
      <c r="H14" s="230"/>
      <c r="K14" s="24" t="e">
        <f t="shared" ca="1" si="0"/>
        <v>#REF!</v>
      </c>
    </row>
    <row r="15" spans="1:12" x14ac:dyDescent="0.4">
      <c r="A15" s="58" t="s">
        <v>26</v>
      </c>
      <c r="B15" s="168" t="s">
        <v>192</v>
      </c>
      <c r="C15" s="52" t="s">
        <v>145</v>
      </c>
      <c r="D15" s="19">
        <v>6</v>
      </c>
      <c r="E15" s="345" t="e">
        <f t="shared" ca="1" si="1"/>
        <v>#REF!</v>
      </c>
      <c r="F15" s="367" t="e">
        <f ca="1">INDIRECT(ADDRESS(8,3,,,_ПС!E$5))</f>
        <v>#REF!</v>
      </c>
      <c r="G15" s="10"/>
      <c r="H15" s="230"/>
      <c r="K15" s="24" t="e">
        <f t="shared" ca="1" si="0"/>
        <v>#REF!</v>
      </c>
    </row>
    <row r="16" spans="1:12" x14ac:dyDescent="0.4">
      <c r="A16" s="58" t="s">
        <v>26</v>
      </c>
      <c r="B16" s="168" t="s">
        <v>192</v>
      </c>
      <c r="C16" s="52" t="s">
        <v>145</v>
      </c>
      <c r="D16" s="19">
        <v>8</v>
      </c>
      <c r="E16" s="380" t="e">
        <f ca="1">SUM(F16:H16)</f>
        <v>#REF!</v>
      </c>
      <c r="F16" s="367" t="e">
        <f ca="1">INDIRECT(ADDRESS(9,3,,,_ПС!E$5))</f>
        <v>#REF!</v>
      </c>
      <c r="G16" s="10"/>
      <c r="H16" s="230"/>
      <c r="I16" s="15"/>
      <c r="K16" s="24" t="e">
        <f t="shared" ca="1" si="0"/>
        <v>#REF!</v>
      </c>
    </row>
    <row r="17" spans="1:11" x14ac:dyDescent="0.4">
      <c r="A17" s="58" t="s">
        <v>26</v>
      </c>
      <c r="B17" s="168" t="s">
        <v>192</v>
      </c>
      <c r="C17" s="52" t="s">
        <v>145</v>
      </c>
      <c r="D17" s="19">
        <v>10</v>
      </c>
      <c r="E17" s="345" t="e">
        <f t="shared" ca="1" si="1"/>
        <v>#REF!</v>
      </c>
      <c r="F17" s="367" t="e">
        <f ca="1">INDIRECT(ADDRESS(10,3,,,_ПС!E$5))</f>
        <v>#REF!</v>
      </c>
      <c r="G17" s="10"/>
      <c r="H17" s="230"/>
      <c r="K17" s="24" t="e">
        <f t="shared" ca="1" si="0"/>
        <v>#REF!</v>
      </c>
    </row>
    <row r="18" spans="1:11" x14ac:dyDescent="0.4">
      <c r="A18" s="58" t="s">
        <v>26</v>
      </c>
      <c r="B18" s="168" t="s">
        <v>192</v>
      </c>
      <c r="C18" s="52" t="s">
        <v>145</v>
      </c>
      <c r="D18" s="19">
        <v>12</v>
      </c>
      <c r="E18" s="345" t="e">
        <f t="shared" ca="1" si="1"/>
        <v>#REF!</v>
      </c>
      <c r="F18" s="367" t="e">
        <f ca="1">INDIRECT(ADDRESS(11,3,,,_ПС!E$5))</f>
        <v>#REF!</v>
      </c>
      <c r="G18" s="10"/>
      <c r="H18" s="230"/>
      <c r="K18" s="24" t="e">
        <f t="shared" ca="1" si="0"/>
        <v>#REF!</v>
      </c>
    </row>
    <row r="19" spans="1:11" x14ac:dyDescent="0.4">
      <c r="A19" s="58" t="s">
        <v>26</v>
      </c>
      <c r="B19" s="168" t="s">
        <v>192</v>
      </c>
      <c r="C19" s="52" t="s">
        <v>145</v>
      </c>
      <c r="D19" s="19">
        <v>14</v>
      </c>
      <c r="E19" s="345" t="e">
        <f t="shared" ca="1" si="1"/>
        <v>#REF!</v>
      </c>
      <c r="F19" s="367" t="e">
        <f ca="1">INDIRECT(ADDRESS(12,3,,,_ПС!E$5))</f>
        <v>#REF!</v>
      </c>
      <c r="G19" s="10"/>
      <c r="H19" s="230"/>
      <c r="K19" s="24" t="e">
        <f t="shared" ca="1" si="0"/>
        <v>#REF!</v>
      </c>
    </row>
    <row r="20" spans="1:11" x14ac:dyDescent="0.4">
      <c r="A20" s="58" t="s">
        <v>26</v>
      </c>
      <c r="B20" s="168" t="s">
        <v>192</v>
      </c>
      <c r="C20" s="52" t="s">
        <v>145</v>
      </c>
      <c r="D20" s="19">
        <v>16</v>
      </c>
      <c r="E20" s="345" t="e">
        <f t="shared" ca="1" si="1"/>
        <v>#REF!</v>
      </c>
      <c r="F20" s="367" t="e">
        <f ca="1">INDIRECT(ADDRESS(13,3,,,_ПС!E$5))</f>
        <v>#REF!</v>
      </c>
      <c r="G20" s="10"/>
      <c r="H20" s="230"/>
      <c r="K20" s="24" t="e">
        <f t="shared" ca="1" si="0"/>
        <v>#REF!</v>
      </c>
    </row>
    <row r="21" spans="1:11" x14ac:dyDescent="0.4">
      <c r="A21" s="58" t="s">
        <v>26</v>
      </c>
      <c r="B21" s="168" t="s">
        <v>192</v>
      </c>
      <c r="C21" s="52" t="s">
        <v>145</v>
      </c>
      <c r="D21" s="19">
        <v>18</v>
      </c>
      <c r="E21" s="345" t="e">
        <f t="shared" ca="1" si="1"/>
        <v>#REF!</v>
      </c>
      <c r="F21" s="367" t="e">
        <f ca="1">INDIRECT(ADDRESS(14,3,,,_ПС!E$5))</f>
        <v>#REF!</v>
      </c>
      <c r="G21" s="10"/>
      <c r="H21" s="230"/>
      <c r="K21" s="24" t="e">
        <f t="shared" ca="1" si="0"/>
        <v>#REF!</v>
      </c>
    </row>
    <row r="22" spans="1:11" x14ac:dyDescent="0.4">
      <c r="A22" s="58" t="s">
        <v>26</v>
      </c>
      <c r="B22" s="168" t="s">
        <v>192</v>
      </c>
      <c r="C22" s="52" t="s">
        <v>145</v>
      </c>
      <c r="D22" s="19">
        <v>20</v>
      </c>
      <c r="E22" s="345" t="e">
        <f t="shared" ca="1" si="1"/>
        <v>#REF!</v>
      </c>
      <c r="F22" s="367" t="e">
        <f ca="1">INDIRECT(ADDRESS(15,3,,,_ПС!E$5))</f>
        <v>#REF!</v>
      </c>
      <c r="G22" s="10"/>
      <c r="H22" s="230"/>
      <c r="K22" s="24" t="e">
        <f t="shared" ca="1" si="0"/>
        <v>#REF!</v>
      </c>
    </row>
    <row r="23" spans="1:11" x14ac:dyDescent="0.4">
      <c r="A23" s="58" t="s">
        <v>26</v>
      </c>
      <c r="B23" s="168" t="s">
        <v>192</v>
      </c>
      <c r="C23" s="52" t="s">
        <v>145</v>
      </c>
      <c r="D23" s="19">
        <v>22</v>
      </c>
      <c r="E23" s="345" t="e">
        <f t="shared" ca="1" si="1"/>
        <v>#REF!</v>
      </c>
      <c r="F23" s="367" t="e">
        <f ca="1">INDIRECT(ADDRESS(16,3,,,_ПС!E$5))</f>
        <v>#REF!</v>
      </c>
      <c r="G23" s="10"/>
      <c r="H23" s="230"/>
      <c r="K23" s="24" t="e">
        <f t="shared" ca="1" si="0"/>
        <v>#REF!</v>
      </c>
    </row>
    <row r="24" spans="1:11" x14ac:dyDescent="0.4">
      <c r="A24" s="58" t="s">
        <v>26</v>
      </c>
      <c r="B24" s="168" t="s">
        <v>192</v>
      </c>
      <c r="C24" s="52" t="s">
        <v>145</v>
      </c>
      <c r="D24" s="19">
        <v>25</v>
      </c>
      <c r="E24" s="345" t="e">
        <f t="shared" ca="1" si="1"/>
        <v>#REF!</v>
      </c>
      <c r="F24" s="367" t="e">
        <f ca="1">INDIRECT(ADDRESS(17,3,,,_ПС!E$5))</f>
        <v>#REF!</v>
      </c>
      <c r="G24" s="10"/>
      <c r="H24" s="230"/>
      <c r="K24" s="24" t="e">
        <f t="shared" ca="1" si="0"/>
        <v>#REF!</v>
      </c>
    </row>
    <row r="25" spans="1:11" x14ac:dyDescent="0.4">
      <c r="A25" s="58" t="s">
        <v>26</v>
      </c>
      <c r="B25" s="168" t="s">
        <v>192</v>
      </c>
      <c r="C25" s="52" t="s">
        <v>145</v>
      </c>
      <c r="D25" s="19">
        <v>28</v>
      </c>
      <c r="E25" s="380" t="e">
        <f ca="1">SUM(F25:H25)</f>
        <v>#REF!</v>
      </c>
      <c r="F25" s="367" t="e">
        <f ca="1">INDIRECT(ADDRESS(18,3,,,_ПС!E$5))</f>
        <v>#REF!</v>
      </c>
      <c r="G25" s="10"/>
      <c r="H25" s="230"/>
      <c r="K25" s="24" t="e">
        <f t="shared" ca="1" si="0"/>
        <v>#REF!</v>
      </c>
    </row>
    <row r="26" spans="1:11" x14ac:dyDescent="0.4">
      <c r="A26" s="58" t="s">
        <v>26</v>
      </c>
      <c r="B26" s="168" t="s">
        <v>192</v>
      </c>
      <c r="C26" s="52" t="s">
        <v>145</v>
      </c>
      <c r="D26" s="19">
        <v>32</v>
      </c>
      <c r="E26" s="345" t="e">
        <f t="shared" ca="1" si="1"/>
        <v>#REF!</v>
      </c>
      <c r="F26" s="367" t="e">
        <f ca="1">INDIRECT(ADDRESS(19,3,,,_ПС!E$5))</f>
        <v>#REF!</v>
      </c>
      <c r="G26" s="10"/>
      <c r="H26" s="230"/>
      <c r="K26" s="24" t="e">
        <f t="shared" ca="1" si="0"/>
        <v>#REF!</v>
      </c>
    </row>
    <row r="27" spans="1:11" x14ac:dyDescent="0.4">
      <c r="A27" s="58" t="s">
        <v>26</v>
      </c>
      <c r="B27" s="168" t="s">
        <v>192</v>
      </c>
      <c r="C27" s="52" t="s">
        <v>145</v>
      </c>
      <c r="D27" s="19">
        <v>36</v>
      </c>
      <c r="E27" s="345" t="e">
        <f t="shared" ca="1" si="1"/>
        <v>#REF!</v>
      </c>
      <c r="F27" s="367" t="e">
        <f ca="1">INDIRECT(ADDRESS(20,3,,,_ПС!E$5))</f>
        <v>#REF!</v>
      </c>
      <c r="G27" s="10"/>
      <c r="H27" s="230"/>
      <c r="K27" s="24" t="e">
        <f t="shared" ca="1" si="0"/>
        <v>#REF!</v>
      </c>
    </row>
    <row r="28" spans="1:11" x14ac:dyDescent="0.4">
      <c r="A28" s="58" t="s">
        <v>26</v>
      </c>
      <c r="B28" s="168" t="s">
        <v>192</v>
      </c>
      <c r="C28" s="52" t="s">
        <v>145</v>
      </c>
      <c r="D28" s="19">
        <v>40</v>
      </c>
      <c r="E28" s="345" t="e">
        <f t="shared" ca="1" si="1"/>
        <v>#REF!</v>
      </c>
      <c r="F28" s="367" t="e">
        <f ca="1">INDIRECT(ADDRESS(21,3,,,_ПС!E$5))</f>
        <v>#REF!</v>
      </c>
      <c r="G28" s="10"/>
      <c r="H28" s="230"/>
      <c r="K28" s="24" t="e">
        <f t="shared" ca="1" si="0"/>
        <v>#REF!</v>
      </c>
    </row>
    <row r="29" spans="1:11" x14ac:dyDescent="0.4">
      <c r="A29" s="58" t="s">
        <v>26</v>
      </c>
      <c r="B29" s="170" t="s">
        <v>193</v>
      </c>
      <c r="C29" s="52" t="s">
        <v>145</v>
      </c>
      <c r="D29" s="19">
        <v>6</v>
      </c>
      <c r="E29" s="345" t="e">
        <f t="shared" ca="1" si="1"/>
        <v>#REF!</v>
      </c>
      <c r="F29" s="367" t="e">
        <f ca="1">INDIRECT(ADDRESS(8,2,,,_ПС!E$5))</f>
        <v>#REF!</v>
      </c>
      <c r="G29" s="10"/>
      <c r="H29" s="230"/>
      <c r="K29" s="24" t="e">
        <f t="shared" ca="1" si="0"/>
        <v>#REF!</v>
      </c>
    </row>
    <row r="30" spans="1:11" x14ac:dyDescent="0.4">
      <c r="A30" s="58" t="s">
        <v>26</v>
      </c>
      <c r="B30" s="170" t="s">
        <v>193</v>
      </c>
      <c r="C30" s="52" t="s">
        <v>145</v>
      </c>
      <c r="D30" s="19">
        <v>8</v>
      </c>
      <c r="E30" s="345" t="e">
        <f t="shared" ca="1" si="1"/>
        <v>#REF!</v>
      </c>
      <c r="F30" s="367" t="e">
        <f ca="1">INDIRECT(ADDRESS(9,2,,,_ПС!E$5))</f>
        <v>#REF!</v>
      </c>
      <c r="G30" s="10"/>
      <c r="H30" s="230"/>
      <c r="K30" s="24" t="e">
        <f t="shared" ca="1" si="0"/>
        <v>#REF!</v>
      </c>
    </row>
    <row r="31" spans="1:11" x14ac:dyDescent="0.4">
      <c r="A31" s="58" t="s">
        <v>26</v>
      </c>
      <c r="B31" s="170" t="s">
        <v>193</v>
      </c>
      <c r="C31" s="52" t="s">
        <v>145</v>
      </c>
      <c r="D31" s="19">
        <v>10</v>
      </c>
      <c r="E31" s="345" t="e">
        <f t="shared" ca="1" si="1"/>
        <v>#REF!</v>
      </c>
      <c r="F31" s="367" t="e">
        <f ca="1">INDIRECT(ADDRESS(10,2,,,_ПС!E$5))</f>
        <v>#REF!</v>
      </c>
      <c r="G31" s="10"/>
      <c r="H31" s="230"/>
      <c r="K31" s="24" t="e">
        <f t="shared" ca="1" si="0"/>
        <v>#REF!</v>
      </c>
    </row>
    <row r="32" spans="1:11" x14ac:dyDescent="0.4">
      <c r="A32" s="58" t="s">
        <v>26</v>
      </c>
      <c r="B32" s="170" t="s">
        <v>193</v>
      </c>
      <c r="C32" s="52" t="s">
        <v>145</v>
      </c>
      <c r="D32" s="19">
        <v>12</v>
      </c>
      <c r="E32" s="345" t="e">
        <f t="shared" ca="1" si="1"/>
        <v>#REF!</v>
      </c>
      <c r="F32" s="367" t="e">
        <f ca="1">INDIRECT(ADDRESS(11,2,,,_ПС!E$5))</f>
        <v>#REF!</v>
      </c>
      <c r="G32" s="10"/>
      <c r="H32" s="230"/>
      <c r="K32" s="24" t="e">
        <f t="shared" ca="1" si="0"/>
        <v>#REF!</v>
      </c>
    </row>
    <row r="33" spans="1:11" x14ac:dyDescent="0.4">
      <c r="A33" s="58" t="s">
        <v>26</v>
      </c>
      <c r="B33" s="170" t="s">
        <v>193</v>
      </c>
      <c r="C33" s="52" t="s">
        <v>145</v>
      </c>
      <c r="D33" s="19">
        <v>14</v>
      </c>
      <c r="E33" s="345" t="e">
        <f t="shared" ca="1" si="1"/>
        <v>#REF!</v>
      </c>
      <c r="F33" s="367" t="e">
        <f ca="1">INDIRECT(ADDRESS(12,2,,,_ПС!E$5))</f>
        <v>#REF!</v>
      </c>
      <c r="G33" s="10"/>
      <c r="H33" s="230"/>
      <c r="K33" s="24" t="e">
        <f t="shared" ca="1" si="0"/>
        <v>#REF!</v>
      </c>
    </row>
    <row r="34" spans="1:11" x14ac:dyDescent="0.4">
      <c r="A34" s="58" t="s">
        <v>26</v>
      </c>
      <c r="B34" s="170" t="s">
        <v>193</v>
      </c>
      <c r="C34" s="52" t="s">
        <v>145</v>
      </c>
      <c r="D34" s="19">
        <v>16</v>
      </c>
      <c r="E34" s="345" t="e">
        <f t="shared" ca="1" si="1"/>
        <v>#REF!</v>
      </c>
      <c r="F34" s="367" t="e">
        <f ca="1">INDIRECT(ADDRESS(13,2,,,_ПС!E$5))</f>
        <v>#REF!</v>
      </c>
      <c r="G34" s="10"/>
      <c r="H34" s="230"/>
      <c r="K34" s="24" t="e">
        <f t="shared" ca="1" si="0"/>
        <v>#REF!</v>
      </c>
    </row>
    <row r="35" spans="1:11" x14ac:dyDescent="0.4">
      <c r="A35" s="58" t="s">
        <v>26</v>
      </c>
      <c r="B35" s="170" t="s">
        <v>193</v>
      </c>
      <c r="C35" s="52" t="s">
        <v>145</v>
      </c>
      <c r="D35" s="19">
        <v>18</v>
      </c>
      <c r="E35" s="345" t="e">
        <f t="shared" ca="1" si="1"/>
        <v>#REF!</v>
      </c>
      <c r="F35" s="367" t="e">
        <f ca="1">INDIRECT(ADDRESS(14,2,,,_ПС!E$5))</f>
        <v>#REF!</v>
      </c>
      <c r="G35" s="10"/>
      <c r="H35" s="230"/>
      <c r="K35" s="24" t="e">
        <f t="shared" ca="1" si="0"/>
        <v>#REF!</v>
      </c>
    </row>
    <row r="36" spans="1:11" x14ac:dyDescent="0.4">
      <c r="A36" s="58" t="s">
        <v>26</v>
      </c>
      <c r="B36" s="170" t="s">
        <v>193</v>
      </c>
      <c r="C36" s="52" t="s">
        <v>145</v>
      </c>
      <c r="D36" s="19">
        <v>20</v>
      </c>
      <c r="E36" s="345" t="e">
        <f t="shared" ca="1" si="1"/>
        <v>#REF!</v>
      </c>
      <c r="F36" s="367" t="e">
        <f ca="1">INDIRECT(ADDRESS(15,2,,,_ПС!E$5))</f>
        <v>#REF!</v>
      </c>
      <c r="G36" s="10"/>
      <c r="H36" s="230"/>
      <c r="K36" s="24" t="e">
        <f t="shared" ca="1" si="0"/>
        <v>#REF!</v>
      </c>
    </row>
    <row r="37" spans="1:11" x14ac:dyDescent="0.4">
      <c r="A37" s="58" t="s">
        <v>26</v>
      </c>
      <c r="B37" s="170" t="s">
        <v>193</v>
      </c>
      <c r="C37" s="52" t="s">
        <v>145</v>
      </c>
      <c r="D37" s="19">
        <v>22</v>
      </c>
      <c r="E37" s="345" t="e">
        <f t="shared" ca="1" si="1"/>
        <v>#REF!</v>
      </c>
      <c r="F37" s="367" t="e">
        <f ca="1">INDIRECT(ADDRESS(16,2,,,_ПС!E$5))</f>
        <v>#REF!</v>
      </c>
      <c r="G37" s="10"/>
      <c r="H37" s="230"/>
      <c r="K37" s="24" t="e">
        <f t="shared" ca="1" si="0"/>
        <v>#REF!</v>
      </c>
    </row>
    <row r="38" spans="1:11" x14ac:dyDescent="0.4">
      <c r="A38" s="58" t="s">
        <v>26</v>
      </c>
      <c r="B38" s="170" t="s">
        <v>193</v>
      </c>
      <c r="C38" s="52" t="s">
        <v>145</v>
      </c>
      <c r="D38" s="19">
        <v>25</v>
      </c>
      <c r="E38" s="345" t="e">
        <f t="shared" ca="1" si="1"/>
        <v>#REF!</v>
      </c>
      <c r="F38" s="367" t="e">
        <f ca="1">INDIRECT(ADDRESS(17,2,,,_ПС!E$5))</f>
        <v>#REF!</v>
      </c>
      <c r="G38" s="10"/>
      <c r="H38" s="230"/>
      <c r="K38" s="24" t="e">
        <f t="shared" ca="1" si="0"/>
        <v>#REF!</v>
      </c>
    </row>
    <row r="39" spans="1:11" x14ac:dyDescent="0.4">
      <c r="A39" s="58" t="s">
        <v>26</v>
      </c>
      <c r="B39" s="170" t="s">
        <v>193</v>
      </c>
      <c r="C39" s="52" t="s">
        <v>145</v>
      </c>
      <c r="D39" s="19">
        <v>28</v>
      </c>
      <c r="E39" s="345" t="e">
        <f t="shared" ca="1" si="1"/>
        <v>#REF!</v>
      </c>
      <c r="F39" s="367" t="e">
        <f ca="1">INDIRECT(ADDRESS(18,2,,,_ПС!E$5))</f>
        <v>#REF!</v>
      </c>
      <c r="G39" s="10"/>
      <c r="H39" s="230"/>
      <c r="K39" s="24" t="e">
        <f t="shared" ref="K39:K68" ca="1" si="2">IF(E39=0,0,1)</f>
        <v>#REF!</v>
      </c>
    </row>
    <row r="40" spans="1:11" x14ac:dyDescent="0.4">
      <c r="A40" s="58" t="s">
        <v>26</v>
      </c>
      <c r="B40" s="170" t="s">
        <v>193</v>
      </c>
      <c r="C40" s="52" t="s">
        <v>145</v>
      </c>
      <c r="D40" s="19">
        <v>32</v>
      </c>
      <c r="E40" s="345" t="e">
        <f t="shared" ca="1" si="1"/>
        <v>#REF!</v>
      </c>
      <c r="F40" s="367" t="e">
        <f ca="1">INDIRECT(ADDRESS(19,2,,,_ПС!E$5))</f>
        <v>#REF!</v>
      </c>
      <c r="G40" s="10"/>
      <c r="H40" s="230"/>
      <c r="K40" s="24" t="e">
        <f t="shared" ca="1" si="2"/>
        <v>#REF!</v>
      </c>
    </row>
    <row r="41" spans="1:11" x14ac:dyDescent="0.4">
      <c r="A41" s="58" t="s">
        <v>26</v>
      </c>
      <c r="B41" s="170" t="s">
        <v>193</v>
      </c>
      <c r="C41" s="52" t="s">
        <v>145</v>
      </c>
      <c r="D41" s="19">
        <v>36</v>
      </c>
      <c r="E41" s="345" t="e">
        <f t="shared" ca="1" si="1"/>
        <v>#REF!</v>
      </c>
      <c r="F41" s="367" t="e">
        <f ca="1">INDIRECT(ADDRESS(20,2,,,_ПС!E$5))</f>
        <v>#REF!</v>
      </c>
      <c r="G41" s="10"/>
      <c r="H41" s="230"/>
      <c r="K41" s="24" t="e">
        <f t="shared" ca="1" si="2"/>
        <v>#REF!</v>
      </c>
    </row>
    <row r="42" spans="1:11" x14ac:dyDescent="0.4">
      <c r="A42" s="58" t="s">
        <v>26</v>
      </c>
      <c r="B42" s="170" t="s">
        <v>193</v>
      </c>
      <c r="C42" s="52" t="s">
        <v>145</v>
      </c>
      <c r="D42" s="19">
        <v>40</v>
      </c>
      <c r="E42" s="345" t="e">
        <f t="shared" ca="1" si="1"/>
        <v>#REF!</v>
      </c>
      <c r="F42" s="367" t="e">
        <f ca="1">INDIRECT(ADDRESS(21,2,,,_ПС!E$5))</f>
        <v>#REF!</v>
      </c>
      <c r="G42" s="10"/>
      <c r="H42" s="230"/>
      <c r="K42" s="24" t="e">
        <f t="shared" ca="1" si="2"/>
        <v>#REF!</v>
      </c>
    </row>
    <row r="43" spans="1:11" ht="15.6" customHeight="1" thickBot="1" x14ac:dyDescent="0.45">
      <c r="A43" s="58"/>
      <c r="B43" s="17"/>
      <c r="C43" s="54" t="s">
        <v>147</v>
      </c>
      <c r="D43" s="19" t="s">
        <v>146</v>
      </c>
      <c r="E43" s="381" t="e">
        <f ca="1">SUM(F43:H43)</f>
        <v>#REF!</v>
      </c>
      <c r="F43" s="368" t="e">
        <f ca="1">INDIRECT(ADDRESS(35,3,,,_ПС!E$5))</f>
        <v>#REF!</v>
      </c>
      <c r="G43" s="275"/>
      <c r="H43" s="276"/>
      <c r="K43" s="24" t="e">
        <f t="shared" ca="1" si="2"/>
        <v>#REF!</v>
      </c>
    </row>
    <row r="44" spans="1:11" x14ac:dyDescent="0.45">
      <c r="A44" s="267" t="s">
        <v>416</v>
      </c>
      <c r="B44" s="268" t="s">
        <v>39</v>
      </c>
      <c r="C44" s="154"/>
      <c r="D44" s="269"/>
      <c r="E44" s="382">
        <f t="shared" ref="E44:E83" si="3">SUM(F44:H44)</f>
        <v>55.6</v>
      </c>
      <c r="F44" s="7">
        <f>_ПС!E$22</f>
        <v>19.600000000000001</v>
      </c>
      <c r="G44" s="1">
        <f>_ПС!G$22</f>
        <v>36</v>
      </c>
      <c r="H44" s="8">
        <f>_ПС!H$22</f>
        <v>0</v>
      </c>
      <c r="K44" s="24">
        <f t="shared" si="2"/>
        <v>1</v>
      </c>
    </row>
    <row r="45" spans="1:11" x14ac:dyDescent="0.4">
      <c r="A45" s="83" t="s">
        <v>26</v>
      </c>
      <c r="B45" s="169" t="s">
        <v>25</v>
      </c>
      <c r="C45" s="52" t="s">
        <v>145</v>
      </c>
      <c r="D45" s="84">
        <v>3</v>
      </c>
      <c r="E45" s="380" t="e">
        <f t="shared" ca="1" si="3"/>
        <v>#REF!</v>
      </c>
      <c r="F45" s="367" t="e">
        <f ca="1">INDIRECT(ADDRESS(5,4,,,_ПС!E$7))</f>
        <v>#REF!</v>
      </c>
      <c r="G45" s="10"/>
      <c r="H45" s="230"/>
      <c r="K45" s="24" t="e">
        <f t="shared" ca="1" si="2"/>
        <v>#REF!</v>
      </c>
    </row>
    <row r="46" spans="1:11" x14ac:dyDescent="0.4">
      <c r="A46" s="83" t="s">
        <v>26</v>
      </c>
      <c r="B46" s="169" t="s">
        <v>25</v>
      </c>
      <c r="C46" s="52" t="s">
        <v>145</v>
      </c>
      <c r="D46" s="84">
        <v>4</v>
      </c>
      <c r="E46" s="380" t="e">
        <f t="shared" ca="1" si="3"/>
        <v>#REF!</v>
      </c>
      <c r="F46" s="367" t="e">
        <f ca="1">INDIRECT(ADDRESS(6,4,,,_ПС!E$7))</f>
        <v>#REF!</v>
      </c>
      <c r="G46" s="10"/>
      <c r="H46" s="230"/>
      <c r="K46" s="24" t="e">
        <f t="shared" ca="1" si="2"/>
        <v>#REF!</v>
      </c>
    </row>
    <row r="47" spans="1:11" x14ac:dyDescent="0.4">
      <c r="A47" s="83" t="s">
        <v>26</v>
      </c>
      <c r="B47" s="169" t="s">
        <v>25</v>
      </c>
      <c r="C47" s="52" t="s">
        <v>145</v>
      </c>
      <c r="D47" s="84">
        <v>5</v>
      </c>
      <c r="E47" s="380" t="e">
        <f t="shared" ca="1" si="3"/>
        <v>#REF!</v>
      </c>
      <c r="F47" s="367" t="e">
        <f ca="1">INDIRECT(ADDRESS(7,4,,,_ПС!E$7))</f>
        <v>#REF!</v>
      </c>
      <c r="G47" s="10"/>
      <c r="H47" s="230"/>
      <c r="K47" s="24" t="e">
        <f t="shared" ca="1" si="2"/>
        <v>#REF!</v>
      </c>
    </row>
    <row r="48" spans="1:11" x14ac:dyDescent="0.4">
      <c r="A48" s="58" t="s">
        <v>26</v>
      </c>
      <c r="B48" s="168" t="s">
        <v>192</v>
      </c>
      <c r="C48" s="52" t="s">
        <v>145</v>
      </c>
      <c r="D48" s="19">
        <v>6</v>
      </c>
      <c r="E48" s="380" t="e">
        <f t="shared" ca="1" si="3"/>
        <v>#REF!</v>
      </c>
      <c r="F48" s="367" t="e">
        <f ca="1">INDIRECT(ADDRESS(8,3,,,_ПС!E$7))</f>
        <v>#REF!</v>
      </c>
      <c r="G48" s="10"/>
      <c r="H48" s="230"/>
      <c r="K48" s="24" t="e">
        <f t="shared" ca="1" si="2"/>
        <v>#REF!</v>
      </c>
    </row>
    <row r="49" spans="1:11" x14ac:dyDescent="0.4">
      <c r="A49" s="58" t="s">
        <v>26</v>
      </c>
      <c r="B49" s="168" t="s">
        <v>192</v>
      </c>
      <c r="C49" s="52" t="s">
        <v>145</v>
      </c>
      <c r="D49" s="19">
        <v>8</v>
      </c>
      <c r="E49" s="380" t="e">
        <f t="shared" ca="1" si="3"/>
        <v>#REF!</v>
      </c>
      <c r="F49" s="367" t="e">
        <f ca="1">INDIRECT(ADDRESS(9,3,,,_ПС!E$7))</f>
        <v>#REF!</v>
      </c>
      <c r="G49" s="10"/>
      <c r="H49" s="230"/>
      <c r="K49" s="24" t="e">
        <f t="shared" ca="1" si="2"/>
        <v>#REF!</v>
      </c>
    </row>
    <row r="50" spans="1:11" x14ac:dyDescent="0.4">
      <c r="A50" s="58" t="s">
        <v>26</v>
      </c>
      <c r="B50" s="168" t="s">
        <v>192</v>
      </c>
      <c r="C50" s="52" t="s">
        <v>145</v>
      </c>
      <c r="D50" s="19">
        <v>10</v>
      </c>
      <c r="E50" s="380" t="e">
        <f t="shared" ca="1" si="3"/>
        <v>#REF!</v>
      </c>
      <c r="F50" s="367" t="e">
        <f ca="1">INDIRECT(ADDRESS(10,3,,,_ПС!E$7))</f>
        <v>#REF!</v>
      </c>
      <c r="G50" s="10"/>
      <c r="H50" s="230"/>
      <c r="K50" s="24" t="e">
        <f t="shared" ca="1" si="2"/>
        <v>#REF!</v>
      </c>
    </row>
    <row r="51" spans="1:11" x14ac:dyDescent="0.4">
      <c r="A51" s="58" t="s">
        <v>26</v>
      </c>
      <c r="B51" s="168" t="s">
        <v>192</v>
      </c>
      <c r="C51" s="52" t="s">
        <v>145</v>
      </c>
      <c r="D51" s="19">
        <v>12</v>
      </c>
      <c r="E51" s="380" t="e">
        <f t="shared" ca="1" si="3"/>
        <v>#REF!</v>
      </c>
      <c r="F51" s="367" t="e">
        <f ca="1">INDIRECT(ADDRESS(11,3,,,_ПС!E$7))</f>
        <v>#REF!</v>
      </c>
      <c r="G51" s="10"/>
      <c r="H51" s="230"/>
      <c r="K51" s="24" t="e">
        <f t="shared" ca="1" si="2"/>
        <v>#REF!</v>
      </c>
    </row>
    <row r="52" spans="1:11" x14ac:dyDescent="0.4">
      <c r="A52" s="58" t="s">
        <v>26</v>
      </c>
      <c r="B52" s="168" t="s">
        <v>192</v>
      </c>
      <c r="C52" s="52" t="s">
        <v>145</v>
      </c>
      <c r="D52" s="19">
        <v>14</v>
      </c>
      <c r="E52" s="380" t="e">
        <f t="shared" ca="1" si="3"/>
        <v>#REF!</v>
      </c>
      <c r="F52" s="367" t="e">
        <f ca="1">INDIRECT(ADDRESS(12,3,,,_ПС!E$7))</f>
        <v>#REF!</v>
      </c>
      <c r="G52" s="10"/>
      <c r="H52" s="230"/>
      <c r="K52" s="24" t="e">
        <f t="shared" ca="1" si="2"/>
        <v>#REF!</v>
      </c>
    </row>
    <row r="53" spans="1:11" x14ac:dyDescent="0.4">
      <c r="A53" s="58" t="s">
        <v>26</v>
      </c>
      <c r="B53" s="168" t="s">
        <v>192</v>
      </c>
      <c r="C53" s="52" t="s">
        <v>145</v>
      </c>
      <c r="D53" s="19">
        <v>16</v>
      </c>
      <c r="E53" s="380" t="e">
        <f t="shared" ca="1" si="3"/>
        <v>#REF!</v>
      </c>
      <c r="F53" s="367" t="e">
        <f ca="1">INDIRECT(ADDRESS(13,3,,,_ПС!E$7))</f>
        <v>#REF!</v>
      </c>
      <c r="G53" s="10"/>
      <c r="H53" s="230"/>
      <c r="K53" s="24" t="e">
        <f t="shared" ca="1" si="2"/>
        <v>#REF!</v>
      </c>
    </row>
    <row r="54" spans="1:11" x14ac:dyDescent="0.4">
      <c r="A54" s="58" t="s">
        <v>26</v>
      </c>
      <c r="B54" s="168" t="s">
        <v>192</v>
      </c>
      <c r="C54" s="52" t="s">
        <v>145</v>
      </c>
      <c r="D54" s="19">
        <v>18</v>
      </c>
      <c r="E54" s="380" t="e">
        <f t="shared" ca="1" si="3"/>
        <v>#REF!</v>
      </c>
      <c r="F54" s="367" t="e">
        <f ca="1">INDIRECT(ADDRESS(14,3,,,_ПС!E$7))</f>
        <v>#REF!</v>
      </c>
      <c r="G54" s="10"/>
      <c r="H54" s="230"/>
      <c r="K54" s="24" t="e">
        <f t="shared" ca="1" si="2"/>
        <v>#REF!</v>
      </c>
    </row>
    <row r="55" spans="1:11" x14ac:dyDescent="0.4">
      <c r="A55" s="58" t="s">
        <v>26</v>
      </c>
      <c r="B55" s="168" t="s">
        <v>192</v>
      </c>
      <c r="C55" s="52" t="s">
        <v>145</v>
      </c>
      <c r="D55" s="19">
        <v>20</v>
      </c>
      <c r="E55" s="380" t="e">
        <f t="shared" ca="1" si="3"/>
        <v>#REF!</v>
      </c>
      <c r="F55" s="367" t="e">
        <f ca="1">INDIRECT(ADDRESS(15,3,,,_ПС!E$7))</f>
        <v>#REF!</v>
      </c>
      <c r="G55" s="10"/>
      <c r="H55" s="230"/>
      <c r="K55" s="24" t="e">
        <f t="shared" ca="1" si="2"/>
        <v>#REF!</v>
      </c>
    </row>
    <row r="56" spans="1:11" x14ac:dyDescent="0.4">
      <c r="A56" s="58" t="s">
        <v>26</v>
      </c>
      <c r="B56" s="168" t="s">
        <v>192</v>
      </c>
      <c r="C56" s="52" t="s">
        <v>145</v>
      </c>
      <c r="D56" s="19">
        <v>22</v>
      </c>
      <c r="E56" s="380" t="e">
        <f t="shared" ca="1" si="3"/>
        <v>#REF!</v>
      </c>
      <c r="F56" s="367" t="e">
        <f ca="1">INDIRECT(ADDRESS(16,3,,,_ПС!E$7))</f>
        <v>#REF!</v>
      </c>
      <c r="G56" s="10"/>
      <c r="H56" s="230"/>
      <c r="K56" s="24" t="e">
        <f t="shared" ca="1" si="2"/>
        <v>#REF!</v>
      </c>
    </row>
    <row r="57" spans="1:11" x14ac:dyDescent="0.4">
      <c r="A57" s="58" t="s">
        <v>26</v>
      </c>
      <c r="B57" s="168" t="s">
        <v>192</v>
      </c>
      <c r="C57" s="52" t="s">
        <v>145</v>
      </c>
      <c r="D57" s="19">
        <v>25</v>
      </c>
      <c r="E57" s="380" t="e">
        <f t="shared" ca="1" si="3"/>
        <v>#REF!</v>
      </c>
      <c r="F57" s="367" t="e">
        <f ca="1">INDIRECT(ADDRESS(17,3,,,_ПС!E$7))</f>
        <v>#REF!</v>
      </c>
      <c r="G57" s="10"/>
      <c r="H57" s="230"/>
      <c r="K57" s="24" t="e">
        <f t="shared" ca="1" si="2"/>
        <v>#REF!</v>
      </c>
    </row>
    <row r="58" spans="1:11" x14ac:dyDescent="0.4">
      <c r="A58" s="58" t="s">
        <v>26</v>
      </c>
      <c r="B58" s="168" t="s">
        <v>192</v>
      </c>
      <c r="C58" s="52" t="s">
        <v>145</v>
      </c>
      <c r="D58" s="19">
        <v>28</v>
      </c>
      <c r="E58" s="380" t="e">
        <f t="shared" ca="1" si="3"/>
        <v>#REF!</v>
      </c>
      <c r="F58" s="367" t="e">
        <f ca="1">INDIRECT(ADDRESS(18,3,,,_ПС!E$7))</f>
        <v>#REF!</v>
      </c>
      <c r="G58" s="10"/>
      <c r="H58" s="230"/>
      <c r="K58" s="24" t="e">
        <f t="shared" ca="1" si="2"/>
        <v>#REF!</v>
      </c>
    </row>
    <row r="59" spans="1:11" x14ac:dyDescent="0.4">
      <c r="A59" s="58" t="s">
        <v>26</v>
      </c>
      <c r="B59" s="168" t="s">
        <v>192</v>
      </c>
      <c r="C59" s="52" t="s">
        <v>145</v>
      </c>
      <c r="D59" s="19">
        <v>32</v>
      </c>
      <c r="E59" s="380" t="e">
        <f t="shared" ca="1" si="3"/>
        <v>#REF!</v>
      </c>
      <c r="F59" s="367" t="e">
        <f ca="1">INDIRECT(ADDRESS(19,3,,,_ПС!E$7))</f>
        <v>#REF!</v>
      </c>
      <c r="G59" s="10"/>
      <c r="H59" s="230"/>
      <c r="K59" s="24" t="e">
        <f t="shared" ca="1" si="2"/>
        <v>#REF!</v>
      </c>
    </row>
    <row r="60" spans="1:11" x14ac:dyDescent="0.4">
      <c r="A60" s="58" t="s">
        <v>26</v>
      </c>
      <c r="B60" s="168" t="s">
        <v>192</v>
      </c>
      <c r="C60" s="52" t="s">
        <v>145</v>
      </c>
      <c r="D60" s="19">
        <v>36</v>
      </c>
      <c r="E60" s="380" t="e">
        <f t="shared" ca="1" si="3"/>
        <v>#REF!</v>
      </c>
      <c r="F60" s="367" t="e">
        <f ca="1">INDIRECT(ADDRESS(20,3,,,_ПС!E$7))</f>
        <v>#REF!</v>
      </c>
      <c r="G60" s="10"/>
      <c r="H60" s="230"/>
      <c r="K60" s="24" t="e">
        <f t="shared" ca="1" si="2"/>
        <v>#REF!</v>
      </c>
    </row>
    <row r="61" spans="1:11" x14ac:dyDescent="0.4">
      <c r="A61" s="58" t="s">
        <v>26</v>
      </c>
      <c r="B61" s="168" t="s">
        <v>192</v>
      </c>
      <c r="C61" s="52" t="s">
        <v>145</v>
      </c>
      <c r="D61" s="19">
        <v>40</v>
      </c>
      <c r="E61" s="380" t="e">
        <f t="shared" ca="1" si="3"/>
        <v>#REF!</v>
      </c>
      <c r="F61" s="367" t="e">
        <f ca="1">INDIRECT(ADDRESS(21,3,,,_ПС!E$7))</f>
        <v>#REF!</v>
      </c>
      <c r="G61" s="10"/>
      <c r="H61" s="230"/>
      <c r="K61" s="24" t="e">
        <f t="shared" ca="1" si="2"/>
        <v>#REF!</v>
      </c>
    </row>
    <row r="62" spans="1:11" x14ac:dyDescent="0.4">
      <c r="A62" s="58" t="s">
        <v>26</v>
      </c>
      <c r="B62" s="170" t="s">
        <v>193</v>
      </c>
      <c r="C62" s="52" t="s">
        <v>145</v>
      </c>
      <c r="D62" s="19">
        <v>6</v>
      </c>
      <c r="E62" s="380" t="e">
        <f t="shared" ca="1" si="3"/>
        <v>#REF!</v>
      </c>
      <c r="F62" s="367" t="e">
        <f ca="1">INDIRECT(ADDRESS(8,2,,,_ПС!E$7))</f>
        <v>#REF!</v>
      </c>
      <c r="G62" s="10"/>
      <c r="H62" s="230"/>
      <c r="K62" s="24" t="e">
        <f t="shared" ca="1" si="2"/>
        <v>#REF!</v>
      </c>
    </row>
    <row r="63" spans="1:11" x14ac:dyDescent="0.4">
      <c r="A63" s="58" t="s">
        <v>26</v>
      </c>
      <c r="B63" s="170" t="s">
        <v>193</v>
      </c>
      <c r="C63" s="52" t="s">
        <v>145</v>
      </c>
      <c r="D63" s="19">
        <v>8</v>
      </c>
      <c r="E63" s="380" t="e">
        <f t="shared" ca="1" si="3"/>
        <v>#REF!</v>
      </c>
      <c r="F63" s="367" t="e">
        <f ca="1">INDIRECT(ADDRESS(9,2,,,_ПС!E$7))</f>
        <v>#REF!</v>
      </c>
      <c r="G63" s="10"/>
      <c r="H63" s="230"/>
      <c r="K63" s="24" t="e">
        <f t="shared" ca="1" si="2"/>
        <v>#REF!</v>
      </c>
    </row>
    <row r="64" spans="1:11" x14ac:dyDescent="0.4">
      <c r="A64" s="58" t="s">
        <v>26</v>
      </c>
      <c r="B64" s="170" t="s">
        <v>193</v>
      </c>
      <c r="C64" s="52" t="s">
        <v>145</v>
      </c>
      <c r="D64" s="19">
        <v>10</v>
      </c>
      <c r="E64" s="380" t="e">
        <f t="shared" ca="1" si="3"/>
        <v>#REF!</v>
      </c>
      <c r="F64" s="367" t="e">
        <f ca="1">INDIRECT(ADDRESS(10,2,,,_ПС!E$7))</f>
        <v>#REF!</v>
      </c>
      <c r="G64" s="10"/>
      <c r="H64" s="230"/>
      <c r="K64" s="24" t="e">
        <f t="shared" ca="1" si="2"/>
        <v>#REF!</v>
      </c>
    </row>
    <row r="65" spans="1:11" x14ac:dyDescent="0.4">
      <c r="A65" s="58" t="s">
        <v>26</v>
      </c>
      <c r="B65" s="170" t="s">
        <v>193</v>
      </c>
      <c r="C65" s="52" t="s">
        <v>145</v>
      </c>
      <c r="D65" s="19">
        <v>12</v>
      </c>
      <c r="E65" s="380" t="e">
        <f t="shared" ca="1" si="3"/>
        <v>#REF!</v>
      </c>
      <c r="F65" s="367" t="e">
        <f ca="1">INDIRECT(ADDRESS(11,2,,,_ПС!E$7))</f>
        <v>#REF!</v>
      </c>
      <c r="G65" s="10"/>
      <c r="H65" s="230"/>
      <c r="K65" s="24" t="e">
        <f t="shared" ca="1" si="2"/>
        <v>#REF!</v>
      </c>
    </row>
    <row r="66" spans="1:11" x14ac:dyDescent="0.4">
      <c r="A66" s="58" t="s">
        <v>26</v>
      </c>
      <c r="B66" s="170" t="s">
        <v>193</v>
      </c>
      <c r="C66" s="52" t="s">
        <v>145</v>
      </c>
      <c r="D66" s="19">
        <v>14</v>
      </c>
      <c r="E66" s="380" t="e">
        <f t="shared" ca="1" si="3"/>
        <v>#REF!</v>
      </c>
      <c r="F66" s="367" t="e">
        <f ca="1">INDIRECT(ADDRESS(12,2,,,_ПС!E$7))</f>
        <v>#REF!</v>
      </c>
      <c r="G66" s="10"/>
      <c r="H66" s="230"/>
      <c r="K66" s="24" t="e">
        <f t="shared" ca="1" si="2"/>
        <v>#REF!</v>
      </c>
    </row>
    <row r="67" spans="1:11" x14ac:dyDescent="0.4">
      <c r="A67" s="58" t="s">
        <v>26</v>
      </c>
      <c r="B67" s="170" t="s">
        <v>193</v>
      </c>
      <c r="C67" s="52" t="s">
        <v>145</v>
      </c>
      <c r="D67" s="19">
        <v>16</v>
      </c>
      <c r="E67" s="380" t="e">
        <f t="shared" ca="1" si="3"/>
        <v>#REF!</v>
      </c>
      <c r="F67" s="367" t="e">
        <f ca="1">INDIRECT(ADDRESS(13,2,,,_ПС!E$7))</f>
        <v>#REF!</v>
      </c>
      <c r="G67" s="10"/>
      <c r="H67" s="230"/>
      <c r="K67" s="24" t="e">
        <f t="shared" ca="1" si="2"/>
        <v>#REF!</v>
      </c>
    </row>
    <row r="68" spans="1:11" x14ac:dyDescent="0.4">
      <c r="A68" s="58" t="s">
        <v>26</v>
      </c>
      <c r="B68" s="170" t="s">
        <v>193</v>
      </c>
      <c r="C68" s="52" t="s">
        <v>145</v>
      </c>
      <c r="D68" s="19">
        <v>18</v>
      </c>
      <c r="E68" s="380" t="e">
        <f t="shared" ca="1" si="3"/>
        <v>#REF!</v>
      </c>
      <c r="F68" s="367" t="e">
        <f ca="1">INDIRECT(ADDRESS(14,2,,,_ПС!E$7))</f>
        <v>#REF!</v>
      </c>
      <c r="G68" s="10"/>
      <c r="H68" s="230"/>
      <c r="K68" s="24" t="e">
        <f t="shared" ca="1" si="2"/>
        <v>#REF!</v>
      </c>
    </row>
    <row r="69" spans="1:11" x14ac:dyDescent="0.4">
      <c r="A69" s="58" t="s">
        <v>26</v>
      </c>
      <c r="B69" s="170" t="s">
        <v>193</v>
      </c>
      <c r="C69" s="52" t="s">
        <v>145</v>
      </c>
      <c r="D69" s="19">
        <v>20</v>
      </c>
      <c r="E69" s="380" t="e">
        <f t="shared" ca="1" si="3"/>
        <v>#REF!</v>
      </c>
      <c r="F69" s="367" t="e">
        <f ca="1">INDIRECT(ADDRESS(15,2,,,_ПС!E$7))</f>
        <v>#REF!</v>
      </c>
      <c r="G69" s="10"/>
      <c r="H69" s="230"/>
      <c r="K69" s="24" t="e">
        <f t="shared" ref="K69:K84" ca="1" si="4">IF(E69=0,0,1)</f>
        <v>#REF!</v>
      </c>
    </row>
    <row r="70" spans="1:11" x14ac:dyDescent="0.4">
      <c r="A70" s="58" t="s">
        <v>26</v>
      </c>
      <c r="B70" s="170" t="s">
        <v>193</v>
      </c>
      <c r="C70" s="52" t="s">
        <v>145</v>
      </c>
      <c r="D70" s="19">
        <v>22</v>
      </c>
      <c r="E70" s="380" t="e">
        <f t="shared" ca="1" si="3"/>
        <v>#REF!</v>
      </c>
      <c r="F70" s="367" t="e">
        <f ca="1">INDIRECT(ADDRESS(16,2,,,_ПС!E$7))</f>
        <v>#REF!</v>
      </c>
      <c r="G70" s="10"/>
      <c r="H70" s="230"/>
      <c r="K70" s="24" t="e">
        <f t="shared" ca="1" si="4"/>
        <v>#REF!</v>
      </c>
    </row>
    <row r="71" spans="1:11" x14ac:dyDescent="0.4">
      <c r="A71" s="58" t="s">
        <v>26</v>
      </c>
      <c r="B71" s="170" t="s">
        <v>193</v>
      </c>
      <c r="C71" s="52" t="s">
        <v>145</v>
      </c>
      <c r="D71" s="19">
        <v>25</v>
      </c>
      <c r="E71" s="380" t="e">
        <f t="shared" ca="1" si="3"/>
        <v>#REF!</v>
      </c>
      <c r="F71" s="367" t="e">
        <f ca="1">INDIRECT(ADDRESS(17,2,,,_ПС!E$7))</f>
        <v>#REF!</v>
      </c>
      <c r="G71" s="10"/>
      <c r="H71" s="230"/>
      <c r="K71" s="24" t="e">
        <f t="shared" ca="1" si="4"/>
        <v>#REF!</v>
      </c>
    </row>
    <row r="72" spans="1:11" x14ac:dyDescent="0.4">
      <c r="A72" s="58" t="s">
        <v>26</v>
      </c>
      <c r="B72" s="170" t="s">
        <v>193</v>
      </c>
      <c r="C72" s="52" t="s">
        <v>145</v>
      </c>
      <c r="D72" s="19">
        <v>28</v>
      </c>
      <c r="E72" s="380" t="e">
        <f t="shared" ca="1" si="3"/>
        <v>#REF!</v>
      </c>
      <c r="F72" s="367" t="e">
        <f ca="1">INDIRECT(ADDRESS(18,2,,,_ПС!E$7))</f>
        <v>#REF!</v>
      </c>
      <c r="G72" s="10"/>
      <c r="H72" s="230"/>
      <c r="K72" s="24" t="e">
        <f t="shared" ca="1" si="4"/>
        <v>#REF!</v>
      </c>
    </row>
    <row r="73" spans="1:11" x14ac:dyDescent="0.4">
      <c r="A73" s="58" t="s">
        <v>26</v>
      </c>
      <c r="B73" s="170" t="s">
        <v>193</v>
      </c>
      <c r="C73" s="52" t="s">
        <v>145</v>
      </c>
      <c r="D73" s="19">
        <v>32</v>
      </c>
      <c r="E73" s="380" t="e">
        <f t="shared" ca="1" si="3"/>
        <v>#REF!</v>
      </c>
      <c r="F73" s="367" t="e">
        <f ca="1">INDIRECT(ADDRESS(19,2,,,_ПС!E$7))</f>
        <v>#REF!</v>
      </c>
      <c r="G73" s="10"/>
      <c r="H73" s="230"/>
      <c r="K73" s="24" t="e">
        <f t="shared" ca="1" si="4"/>
        <v>#REF!</v>
      </c>
    </row>
    <row r="74" spans="1:11" x14ac:dyDescent="0.4">
      <c r="A74" s="58" t="s">
        <v>26</v>
      </c>
      <c r="B74" s="170" t="s">
        <v>193</v>
      </c>
      <c r="C74" s="52" t="s">
        <v>145</v>
      </c>
      <c r="D74" s="19">
        <v>36</v>
      </c>
      <c r="E74" s="380" t="e">
        <f t="shared" ca="1" si="3"/>
        <v>#REF!</v>
      </c>
      <c r="F74" s="367" t="e">
        <f ca="1">INDIRECT(ADDRESS(20,2,,,_ПС!E$7))</f>
        <v>#REF!</v>
      </c>
      <c r="G74" s="10"/>
      <c r="H74" s="230"/>
      <c r="K74" s="24" t="e">
        <f t="shared" ca="1" si="4"/>
        <v>#REF!</v>
      </c>
    </row>
    <row r="75" spans="1:11" x14ac:dyDescent="0.4">
      <c r="A75" s="58" t="s">
        <v>26</v>
      </c>
      <c r="B75" s="170" t="s">
        <v>193</v>
      </c>
      <c r="C75" s="52" t="s">
        <v>145</v>
      </c>
      <c r="D75" s="19">
        <v>40</v>
      </c>
      <c r="E75" s="380" t="e">
        <f t="shared" ca="1" si="3"/>
        <v>#REF!</v>
      </c>
      <c r="F75" s="367" t="e">
        <f ca="1">INDIRECT(ADDRESS(21,2,,,_ПС!E$7))</f>
        <v>#REF!</v>
      </c>
      <c r="G75" s="10"/>
      <c r="H75" s="230"/>
      <c r="K75" s="24" t="e">
        <f t="shared" ca="1" si="4"/>
        <v>#REF!</v>
      </c>
    </row>
    <row r="76" spans="1:11" ht="15.6" customHeight="1" thickBot="1" x14ac:dyDescent="0.45">
      <c r="A76" s="58"/>
      <c r="B76" s="17"/>
      <c r="C76" s="54" t="s">
        <v>147</v>
      </c>
      <c r="D76" s="255" t="s">
        <v>363</v>
      </c>
      <c r="E76" s="381" t="e">
        <f t="shared" ca="1" si="3"/>
        <v>#REF!</v>
      </c>
      <c r="F76" s="367" t="e">
        <f ca="1">INDIRECT(ADDRESS(35,3,,,_ПС!E$7))</f>
        <v>#REF!</v>
      </c>
      <c r="G76" s="10"/>
      <c r="H76" s="230"/>
      <c r="K76" s="24" t="e">
        <f t="shared" ca="1" si="4"/>
        <v>#REF!</v>
      </c>
    </row>
    <row r="77" spans="1:11" x14ac:dyDescent="0.45">
      <c r="A77" s="267" t="s">
        <v>408</v>
      </c>
      <c r="B77" s="370"/>
      <c r="C77" s="370"/>
      <c r="D77" s="371"/>
      <c r="E77" s="383">
        <f t="shared" si="3"/>
        <v>2</v>
      </c>
      <c r="F77" s="4">
        <f>_ПС!E$41</f>
        <v>1</v>
      </c>
      <c r="G77" s="5">
        <f>_ПС!F$41</f>
        <v>1</v>
      </c>
      <c r="H77" s="6">
        <f>_ПС!G$41</f>
        <v>0</v>
      </c>
      <c r="K77" s="24">
        <f t="shared" si="4"/>
        <v>1</v>
      </c>
    </row>
    <row r="78" spans="1:11" x14ac:dyDescent="0.45">
      <c r="A78" s="363" t="s">
        <v>418</v>
      </c>
      <c r="B78" s="16"/>
      <c r="C78" s="16"/>
      <c r="D78" s="372"/>
      <c r="E78" s="384">
        <f t="shared" si="3"/>
        <v>9.8999999999999986</v>
      </c>
      <c r="F78" s="375">
        <f>ROUNDUP(_ПС!E$12-_ПС!E$17,1)</f>
        <v>4</v>
      </c>
      <c r="G78" s="240">
        <f>ROUNDUP(_ПС!G$12-_ПС!G$17,1)</f>
        <v>5.8999999999999995</v>
      </c>
      <c r="H78" s="369">
        <f>ROUNDUP(_ПС!H$12-_ПС!H$17,1)</f>
        <v>0</v>
      </c>
      <c r="K78" s="24">
        <f t="shared" si="4"/>
        <v>1</v>
      </c>
    </row>
    <row r="79" spans="1:11" x14ac:dyDescent="0.45">
      <c r="A79" s="363" t="s">
        <v>405</v>
      </c>
      <c r="B79" s="16"/>
      <c r="C79" s="16"/>
      <c r="D79" s="372"/>
      <c r="E79" s="384">
        <f t="shared" si="3"/>
        <v>12.899999999999999</v>
      </c>
      <c r="F79" s="375">
        <f>ROUNDUP(((_ПС!E$13*(_ПС!E$20+_ПС!E$18)/2)+(_ПС!E$13*(_ПС!E$17-_ПС!E$18)/2)+(0.5*(_ПС!E$14+_ПС!E$16)*(_ПС!E$12-_ПС!E$19))),1)</f>
        <v>5.6999999999999993</v>
      </c>
      <c r="G79" s="240">
        <f>ROUNDUP(((_ПС!G$13*(_ПС!G$20+_ПС!G$18)/2)+(_ПС!G$13*(_ПС!G$17-_ПС!G$18)/2)+(0.5*(_ПС!G$14+_ПС!G$16)*(_ПС!G$12-_ПС!G$19))),1)</f>
        <v>7.1999999999999993</v>
      </c>
      <c r="H79" s="369">
        <f>ROUNDUP(((_ПС!H$13*(_ПС!H$20+_ПС!H$18)/2)+(_ПС!H$13*(_ПС!H$17-_ПС!H$18)/2)+(0.5*(_ПС!H$14+_ПС!H$16)*(_ПС!H$12-_ПС!H$19))),1)</f>
        <v>0</v>
      </c>
      <c r="K79" s="24">
        <f t="shared" si="4"/>
        <v>1</v>
      </c>
    </row>
    <row r="80" spans="1:11" x14ac:dyDescent="0.45">
      <c r="A80" s="363" t="s">
        <v>406</v>
      </c>
      <c r="B80" s="16"/>
      <c r="C80" s="16"/>
      <c r="D80" s="372"/>
      <c r="E80" s="384">
        <f t="shared" si="3"/>
        <v>15.8</v>
      </c>
      <c r="F80" s="7">
        <f>ROUND((_ПС!E$20)+
((_ПС!E$19-_ПС!E$18)^2+(_ПС!E$13-_ПС!E$16-_ПС!E$15)^2)^0.5+
((_ПС!E$16-_ПС!E$14)^2+(_ПС!E$12-_ПС!E$19)^2)^0.5,1)</f>
        <v>6.9</v>
      </c>
      <c r="G80" s="1">
        <f>ROUND((_ПС!G$20)+
((_ПС!G$19-_ПС!G$18)^2+(_ПС!G$13-_ПС!G$16-_ПС!G$15)^2)^0.5+
((_ПС!G$16-_ПС!G$14)^2+(_ПС!G$12-_ПС!G$19)^2)^0.5,1)</f>
        <v>8.9</v>
      </c>
      <c r="H80" s="8">
        <f>ROUND((_ПС!H$20)+
((_ПС!H$19-_ПС!H$18)^2+(_ПС!H$13-_ПС!H$16-_ПС!H$15)^2)^0.5+
((_ПС!H$16-_ПС!H$14)^2+(_ПС!H$12-_ПС!H$19)^2)^0.5,1)</f>
        <v>0</v>
      </c>
      <c r="K80" s="24">
        <f t="shared" si="4"/>
        <v>1</v>
      </c>
    </row>
    <row r="81" spans="1:11" x14ac:dyDescent="0.45">
      <c r="A81" s="363" t="s">
        <v>429</v>
      </c>
      <c r="B81" s="16"/>
      <c r="C81" s="16"/>
      <c r="D81" s="372"/>
      <c r="E81" s="384">
        <f t="shared" si="3"/>
        <v>13.2</v>
      </c>
      <c r="F81" s="7">
        <f>ROUND(_ПС!E$18+(_ПС!E$12-_ПС!E$17)+((_ПС!E17-_ПС!E18)^2+_ПС!E15^2)^0.5,1)</f>
        <v>5.6</v>
      </c>
      <c r="G81" s="1">
        <f>ROUND(_ПС!G$18+(_ПС!G$12-_ПС!G$17)+((_ПС!G17-_ПС!G18)^2+_ПС!G15^2)^0.5,1)</f>
        <v>7.6</v>
      </c>
      <c r="H81" s="8">
        <f>ROUND(_ПС!H$18+(_ПС!H$12-_ПС!H$17)+((_ПС!H17-_ПС!H18)^2+_ПС!H15^2)^0.5,1)</f>
        <v>0</v>
      </c>
      <c r="K81" s="24">
        <f t="shared" si="4"/>
        <v>1</v>
      </c>
    </row>
    <row r="82" spans="1:11" x14ac:dyDescent="0.45">
      <c r="A82" s="363" t="s">
        <v>431</v>
      </c>
      <c r="B82" s="16"/>
      <c r="C82" s="16"/>
      <c r="D82" s="372"/>
      <c r="E82" s="384">
        <f t="shared" si="3"/>
        <v>2.6</v>
      </c>
      <c r="F82" s="7">
        <f>ROUND(F81*_ПС!E$42*1000,1)</f>
        <v>1.1000000000000001</v>
      </c>
      <c r="G82" s="1">
        <f>ROUND(G81*_ПС!G$42*1000,1)</f>
        <v>1.5</v>
      </c>
      <c r="H82" s="8">
        <f>ROUND(H81*_ПС!H$42*1000,1)</f>
        <v>0</v>
      </c>
      <c r="K82" s="24">
        <f t="shared" si="4"/>
        <v>1</v>
      </c>
    </row>
    <row r="83" spans="1:11" x14ac:dyDescent="0.45">
      <c r="A83" s="363" t="s">
        <v>407</v>
      </c>
      <c r="B83" s="16"/>
      <c r="C83" s="16"/>
      <c r="D83" s="372"/>
      <c r="E83" s="384">
        <f t="shared" si="3"/>
        <v>0</v>
      </c>
      <c r="F83" s="7">
        <f>ROUND(1.725*_ПС!E49,1)</f>
        <v>0</v>
      </c>
      <c r="G83" s="1">
        <f>ROUND(1.725*_ПС!G49,1)</f>
        <v>0</v>
      </c>
      <c r="H83" s="8">
        <f>ROUND(1.725*_ПС!H49,1)</f>
        <v>0</v>
      </c>
      <c r="K83" s="24">
        <f t="shared" si="4"/>
        <v>0</v>
      </c>
    </row>
    <row r="84" spans="1:11" ht="14.65" thickBot="1" x14ac:dyDescent="0.5">
      <c r="A84" s="59" t="s">
        <v>432</v>
      </c>
      <c r="B84" s="60"/>
      <c r="C84" s="60"/>
      <c r="D84" s="373"/>
      <c r="E84" s="385">
        <f>SUM(F84:H84)</f>
        <v>23.6</v>
      </c>
      <c r="F84" s="11">
        <f>_ПС!E$10*_ПС!E$43</f>
        <v>11.8</v>
      </c>
      <c r="G84" s="12">
        <f>_ПС!G$10*_ПС!G$43</f>
        <v>11.8</v>
      </c>
      <c r="H84" s="13">
        <f>_ПС!H$10*_ПС!H$43</f>
        <v>0</v>
      </c>
      <c r="K84" s="24">
        <f t="shared" si="4"/>
        <v>1</v>
      </c>
    </row>
    <row r="85" spans="1:11" x14ac:dyDescent="0.45">
      <c r="E85" s="240"/>
      <c r="K85" s="24">
        <v>2</v>
      </c>
    </row>
    <row r="87" spans="1:11" x14ac:dyDescent="0.45">
      <c r="C87" s="199"/>
    </row>
  </sheetData>
  <mergeCells count="1">
    <mergeCell ref="K6:K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_xludf.unhide">
                <anchor moveWithCells="1" siz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otob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42</vt:i4>
      </vt:variant>
    </vt:vector>
  </HeadingPairs>
  <TitlesOfParts>
    <vt:vector size="54" baseType="lpstr">
      <vt:lpstr>TEXT</vt:lpstr>
      <vt:lpstr>Спецификации</vt:lpstr>
      <vt:lpstr>грунты</vt:lpstr>
      <vt:lpstr>скв</vt:lpstr>
      <vt:lpstr>марки свай</vt:lpstr>
      <vt:lpstr>вес заб</vt:lpstr>
      <vt:lpstr>_1</vt:lpstr>
      <vt:lpstr>ВОР1</vt:lpstr>
      <vt:lpstr>_2</vt:lpstr>
      <vt:lpstr>ВОР2</vt:lpstr>
      <vt:lpstr>_ПС</vt:lpstr>
      <vt:lpstr>ВОР_ПС</vt:lpstr>
      <vt:lpstr>N.дог.на.разраб.пр.док</vt:lpstr>
      <vt:lpstr>TEXT!oto</vt:lpstr>
      <vt:lpstr>ВОР_ПС!oto</vt:lpstr>
      <vt:lpstr>ВОР1!oto</vt:lpstr>
      <vt:lpstr>ВОР2!oto</vt:lpstr>
      <vt:lpstr>oto</vt:lpstr>
      <vt:lpstr>балка.бетон</vt:lpstr>
      <vt:lpstr>балка.ум.бетон</vt:lpstr>
      <vt:lpstr>балка.умдш.бетон</vt:lpstr>
      <vt:lpstr>бет.подг.бетон</vt:lpstr>
      <vt:lpstr>выс.оп.пак</vt:lpstr>
      <vt:lpstr>выс.шлам.сл</vt:lpstr>
      <vt:lpstr>гип</vt:lpstr>
      <vt:lpstr>зад.св.рост</vt:lpstr>
      <vt:lpstr>лежни.бетон</vt:lpstr>
      <vt:lpstr>лест.сходы</vt:lpstr>
      <vt:lpstr>назв.ИССО</vt:lpstr>
      <vt:lpstr>назв.объекта</vt:lpstr>
      <vt:lpstr>опора.оголовок.бетон</vt:lpstr>
      <vt:lpstr>опора.оголовок2.бетон</vt:lpstr>
      <vt:lpstr>опора.подферм.бетон</vt:lpstr>
      <vt:lpstr>опора.ростверк.бетон</vt:lpstr>
      <vt:lpstr>опора.тело.бетон</vt:lpstr>
      <vt:lpstr>перех.плиты.бетон</vt:lpstr>
      <vt:lpstr>рзб</vt:lpstr>
      <vt:lpstr>стат.мин</vt:lpstr>
      <vt:lpstr>толщ.щеб.подг</vt:lpstr>
      <vt:lpstr>устой.насадка.бетон</vt:lpstr>
      <vt:lpstr>устой.открылок.бетон</vt:lpstr>
      <vt:lpstr>устой.плитапроезда.бетон</vt:lpstr>
      <vt:lpstr>устой.подферм.бетон</vt:lpstr>
      <vt:lpstr>устой.ростверк.бетон</vt:lpstr>
      <vt:lpstr>устой.тело.бетон</vt:lpstr>
      <vt:lpstr>устой.укрепл.бетон</vt:lpstr>
      <vt:lpstr>устой.упор.бетон</vt:lpstr>
      <vt:lpstr>устой.шкаф.бетон</vt:lpstr>
      <vt:lpstr>ушир.1.0</vt:lpstr>
      <vt:lpstr>ушир.1.2</vt:lpstr>
      <vt:lpstr>ушир.1.5</vt:lpstr>
      <vt:lpstr>ушир.к.1.0</vt:lpstr>
      <vt:lpstr>ушир.к.1.2</vt:lpstr>
      <vt:lpstr>ушир.к.1.5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Паршин Павел Владимирович</dc:creator>
  <cp:lastModifiedBy>Ponka</cp:lastModifiedBy>
  <dcterms:created xsi:type="dcterms:W3CDTF">2024-08-05T13:10:12Z</dcterms:created>
  <dcterms:modified xsi:type="dcterms:W3CDTF">2025-05-02T10:11:13Z</dcterms:modified>
</cp:coreProperties>
</file>