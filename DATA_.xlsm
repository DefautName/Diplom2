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nka\Desktop\Диплом\Diplom2\"/>
    </mc:Choice>
  </mc:AlternateContent>
  <bookViews>
    <workbookView xWindow="-105" yWindow="-105" windowWidth="23258" windowHeight="12578" firstSheet="5" activeTab="10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16" l="1"/>
  <c r="L61" i="16"/>
  <c r="L60" i="16"/>
  <c r="L42" i="16"/>
  <c r="L43" i="16"/>
  <c r="L25" i="16"/>
  <c r="G5" i="16" l="1"/>
  <c r="F5" i="16"/>
  <c r="E5" i="16"/>
  <c r="G7" i="17"/>
  <c r="H7" i="17"/>
  <c r="H8" i="17"/>
  <c r="H9" i="17"/>
  <c r="H10" i="17"/>
  <c r="H11" i="17"/>
  <c r="H44" i="17"/>
  <c r="H78" i="17"/>
  <c r="H79" i="17"/>
  <c r="H80" i="17"/>
  <c r="H81" i="17"/>
  <c r="H82" i="17" s="1"/>
  <c r="H83" i="17"/>
  <c r="H84" i="17"/>
  <c r="F7" i="17"/>
  <c r="L13" i="16"/>
  <c r="M70" i="16"/>
  <c r="N70" i="16"/>
  <c r="M71" i="16"/>
  <c r="N71" i="16"/>
  <c r="M72" i="16"/>
  <c r="N72" i="16"/>
  <c r="M73" i="16"/>
  <c r="N73" i="16"/>
  <c r="M75" i="16"/>
  <c r="N75" i="16"/>
  <c r="M77" i="16"/>
  <c r="N77" i="16"/>
  <c r="M78" i="16"/>
  <c r="N78" i="16"/>
  <c r="L77" i="16"/>
  <c r="L75" i="16"/>
  <c r="L71" i="16"/>
  <c r="L73" i="16"/>
  <c r="M62" i="16"/>
  <c r="N62" i="16"/>
  <c r="M63" i="16"/>
  <c r="N63" i="16"/>
  <c r="M64" i="16"/>
  <c r="N64" i="16"/>
  <c r="M69" i="16"/>
  <c r="N69" i="16"/>
  <c r="L64" i="16"/>
  <c r="L63" i="16"/>
  <c r="L62" i="16"/>
  <c r="L78" i="16"/>
  <c r="L72" i="16"/>
  <c r="L70" i="16"/>
  <c r="L69" i="16"/>
  <c r="M44" i="16"/>
  <c r="N44" i="16"/>
  <c r="M45" i="16"/>
  <c r="N45" i="16"/>
  <c r="M46" i="16"/>
  <c r="N46" i="16"/>
  <c r="M47" i="16"/>
  <c r="N47" i="16"/>
  <c r="M48" i="16"/>
  <c r="N48" i="16"/>
  <c r="M50" i="16"/>
  <c r="N50" i="16"/>
  <c r="M51" i="16"/>
  <c r="N51" i="16"/>
  <c r="M53" i="16"/>
  <c r="N53" i="16"/>
  <c r="M54" i="16"/>
  <c r="N54" i="16"/>
  <c r="M57" i="16"/>
  <c r="N57" i="16"/>
  <c r="M59" i="16"/>
  <c r="N59" i="16"/>
  <c r="M26" i="16"/>
  <c r="N26" i="16"/>
  <c r="M27" i="16"/>
  <c r="N27" i="16"/>
  <c r="M28" i="16"/>
  <c r="N28" i="16"/>
  <c r="M29" i="16"/>
  <c r="N29" i="16"/>
  <c r="M30" i="16"/>
  <c r="N30" i="16"/>
  <c r="M32" i="16"/>
  <c r="N32" i="16"/>
  <c r="M33" i="16"/>
  <c r="N33" i="16"/>
  <c r="M35" i="16"/>
  <c r="N35" i="16"/>
  <c r="M36" i="16"/>
  <c r="N36" i="16"/>
  <c r="M39" i="16"/>
  <c r="N39" i="16"/>
  <c r="M41" i="16"/>
  <c r="N41" i="16"/>
  <c r="N14" i="16"/>
  <c r="N15" i="16"/>
  <c r="N17" i="16"/>
  <c r="N19" i="16"/>
  <c r="N20" i="16"/>
  <c r="N21" i="16"/>
  <c r="N23" i="16"/>
  <c r="M15" i="16"/>
  <c r="M14" i="16"/>
  <c r="M17" i="16"/>
  <c r="M19" i="16"/>
  <c r="M20" i="16"/>
  <c r="M21" i="16"/>
  <c r="M23" i="16"/>
  <c r="L59" i="16"/>
  <c r="L57" i="16"/>
  <c r="L54" i="16"/>
  <c r="L50" i="16"/>
  <c r="L49" i="16"/>
  <c r="L48" i="16"/>
  <c r="L47" i="16"/>
  <c r="L46" i="16"/>
  <c r="L45" i="16"/>
  <c r="L44" i="16"/>
  <c r="L41" i="16"/>
  <c r="L39" i="16"/>
  <c r="L36" i="16"/>
  <c r="L32" i="16"/>
  <c r="L31" i="16"/>
  <c r="L30" i="16"/>
  <c r="L29" i="16"/>
  <c r="L28" i="16"/>
  <c r="L17" i="16"/>
  <c r="L15" i="16"/>
  <c r="L14" i="16"/>
  <c r="L20" i="16"/>
  <c r="L19" i="16"/>
  <c r="N12" i="16"/>
  <c r="N13" i="16"/>
  <c r="N9" i="16"/>
  <c r="M9" i="16"/>
  <c r="M12" i="16"/>
  <c r="M13" i="16"/>
  <c r="L12" i="16"/>
  <c r="L9" i="16"/>
  <c r="F42" i="16"/>
  <c r="F41" i="16"/>
  <c r="G77" i="17" s="1"/>
  <c r="F38" i="16"/>
  <c r="F24" i="16"/>
  <c r="D24" i="16" s="1"/>
  <c r="F23" i="16"/>
  <c r="F25" i="16" s="1"/>
  <c r="F19" i="16"/>
  <c r="M37" i="16"/>
  <c r="F17" i="16"/>
  <c r="M31" i="16" s="1"/>
  <c r="F14" i="16"/>
  <c r="M34" i="16" s="1"/>
  <c r="M52" i="16"/>
  <c r="F13" i="16"/>
  <c r="M67" i="16" s="1"/>
  <c r="F10" i="16"/>
  <c r="M16" i="16" s="1"/>
  <c r="F7" i="16"/>
  <c r="G42" i="16"/>
  <c r="E42" i="16"/>
  <c r="G17" i="16"/>
  <c r="N49" i="16" s="1"/>
  <c r="G83" i="17"/>
  <c r="F83" i="17"/>
  <c r="D8" i="16"/>
  <c r="D41" i="16" s="1"/>
  <c r="G19" i="16"/>
  <c r="N37" i="16" s="1"/>
  <c r="G14" i="16"/>
  <c r="N79" i="16" s="1"/>
  <c r="G13" i="16"/>
  <c r="N65" i="16" s="1"/>
  <c r="E10" i="16"/>
  <c r="L16" i="16" s="1"/>
  <c r="E12" i="16"/>
  <c r="F81" i="17" s="1"/>
  <c r="E19" i="16"/>
  <c r="L37" i="16" s="1"/>
  <c r="E14" i="16"/>
  <c r="L34" i="16" s="1"/>
  <c r="E13" i="16"/>
  <c r="L56" i="16" s="1"/>
  <c r="E11" i="16"/>
  <c r="L35" i="16" s="1"/>
  <c r="G10" i="16"/>
  <c r="N22" i="16" s="1"/>
  <c r="G9" i="17"/>
  <c r="F9" i="17"/>
  <c r="G24" i="16"/>
  <c r="E24" i="16"/>
  <c r="E23" i="16"/>
  <c r="E25" i="16" s="1"/>
  <c r="G41" i="16"/>
  <c r="H77" i="17" s="1"/>
  <c r="E41" i="16"/>
  <c r="F77" i="17" s="1"/>
  <c r="G38" i="16"/>
  <c r="G23" i="16"/>
  <c r="G25" i="16" s="1"/>
  <c r="G7" i="16"/>
  <c r="E7" i="16"/>
  <c r="E38" i="16"/>
  <c r="B82" i="8"/>
  <c r="E17" i="5"/>
  <c r="AC2" i="13"/>
  <c r="AF4" i="13"/>
  <c r="AH4" i="13" s="1"/>
  <c r="T2" i="13"/>
  <c r="U2" i="13"/>
  <c r="K2" i="13"/>
  <c r="N4" i="13" s="1"/>
  <c r="B2" i="13"/>
  <c r="E4" i="13" s="1"/>
  <c r="G7" i="11"/>
  <c r="I26" i="9"/>
  <c r="K268" i="11" s="1"/>
  <c r="I25" i="9"/>
  <c r="I24" i="9"/>
  <c r="I38" i="9" s="1"/>
  <c r="H26" i="9"/>
  <c r="J369" i="11" s="1"/>
  <c r="H25" i="9"/>
  <c r="H24" i="9"/>
  <c r="H38" i="9" s="1"/>
  <c r="F26" i="9"/>
  <c r="H369" i="11" s="1"/>
  <c r="F25" i="9"/>
  <c r="F24" i="9"/>
  <c r="E26" i="9"/>
  <c r="E25" i="9"/>
  <c r="E24" i="9"/>
  <c r="E38" i="9" s="1"/>
  <c r="E10" i="9"/>
  <c r="I453" i="11"/>
  <c r="F453" i="11"/>
  <c r="I10" i="9"/>
  <c r="H10" i="9"/>
  <c r="G10" i="9" s="1"/>
  <c r="F10" i="9"/>
  <c r="I9" i="9"/>
  <c r="H9" i="9"/>
  <c r="G9" i="9" s="1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J401" i="11" s="1"/>
  <c r="B400" i="11"/>
  <c r="B399" i="11"/>
  <c r="B398" i="11"/>
  <c r="B397" i="11"/>
  <c r="B396" i="11"/>
  <c r="B395" i="11"/>
  <c r="B394" i="11"/>
  <c r="B393" i="11"/>
  <c r="J393" i="11" s="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H90" i="9" s="1"/>
  <c r="B63" i="13"/>
  <c r="B311" i="11"/>
  <c r="B89" i="9" s="1"/>
  <c r="B310" i="11"/>
  <c r="B88" i="9" s="1"/>
  <c r="B309" i="11"/>
  <c r="B60" i="13" s="1"/>
  <c r="B308" i="11"/>
  <c r="B59" i="13" s="1"/>
  <c r="AC59" i="13" s="1"/>
  <c r="B307" i="11"/>
  <c r="B85" i="9" s="1"/>
  <c r="B58" i="13"/>
  <c r="B306" i="11"/>
  <c r="B84" i="9" s="1"/>
  <c r="B57" i="13"/>
  <c r="B305" i="11"/>
  <c r="B83" i="9" s="1"/>
  <c r="B304" i="11"/>
  <c r="B82" i="9" s="1"/>
  <c r="B55" i="13"/>
  <c r="B303" i="11"/>
  <c r="B81" i="9" s="1"/>
  <c r="B302" i="11"/>
  <c r="B80" i="9" s="1"/>
  <c r="B301" i="11"/>
  <c r="B79" i="9" s="1"/>
  <c r="B52" i="13"/>
  <c r="AC52" i="13" s="1"/>
  <c r="B300" i="11"/>
  <c r="B78" i="9" s="1"/>
  <c r="B51" i="13"/>
  <c r="B299" i="11"/>
  <c r="B77" i="9" s="1"/>
  <c r="B298" i="11"/>
  <c r="B76" i="9" s="1"/>
  <c r="H76" i="9" s="1"/>
  <c r="B297" i="11"/>
  <c r="B75" i="9" s="1"/>
  <c r="B296" i="11"/>
  <c r="B74" i="9" s="1"/>
  <c r="B47" i="13"/>
  <c r="AC47" i="13" s="1"/>
  <c r="B295" i="11"/>
  <c r="B73" i="9" s="1"/>
  <c r="F73" i="9" s="1"/>
  <c r="B46" i="13"/>
  <c r="K46" i="13" s="1"/>
  <c r="R46" i="13" s="1"/>
  <c r="B294" i="11"/>
  <c r="B72" i="9" s="1"/>
  <c r="B45" i="13"/>
  <c r="B293" i="11"/>
  <c r="B71" i="9" s="1"/>
  <c r="B44" i="13"/>
  <c r="B292" i="11"/>
  <c r="B43" i="13" s="1"/>
  <c r="B291" i="11"/>
  <c r="B69" i="9" s="1"/>
  <c r="B290" i="11"/>
  <c r="B68" i="9" s="1"/>
  <c r="B41" i="13"/>
  <c r="B289" i="11"/>
  <c r="B67" i="9" s="1"/>
  <c r="B40" i="13"/>
  <c r="B288" i="11"/>
  <c r="B39" i="13" s="1"/>
  <c r="B287" i="11"/>
  <c r="B65" i="9" s="1"/>
  <c r="F65" i="9" s="1"/>
  <c r="B286" i="11"/>
  <c r="B37" i="13" s="1"/>
  <c r="B285" i="11"/>
  <c r="B63" i="9" s="1"/>
  <c r="B284" i="11"/>
  <c r="B62" i="9" s="1"/>
  <c r="B283" i="11"/>
  <c r="B61" i="9" s="1"/>
  <c r="B282" i="11"/>
  <c r="B60" i="9" s="1"/>
  <c r="B33" i="13"/>
  <c r="B281" i="11"/>
  <c r="B59" i="9" s="1"/>
  <c r="B280" i="11"/>
  <c r="B58" i="9" s="1"/>
  <c r="B279" i="11"/>
  <c r="B57" i="9" s="1"/>
  <c r="B30" i="13"/>
  <c r="B278" i="11"/>
  <c r="B56" i="9" s="1"/>
  <c r="B277" i="11"/>
  <c r="B55" i="9" s="1"/>
  <c r="B276" i="11"/>
  <c r="B54" i="9" s="1"/>
  <c r="B27" i="13"/>
  <c r="B275" i="11"/>
  <c r="B53" i="9" s="1"/>
  <c r="B26" i="13"/>
  <c r="B274" i="11"/>
  <c r="B25" i="13" s="1"/>
  <c r="B273" i="11"/>
  <c r="B51" i="9" s="1"/>
  <c r="B272" i="11"/>
  <c r="B50" i="9" s="1"/>
  <c r="B271" i="11"/>
  <c r="B49" i="9" s="1"/>
  <c r="B270" i="11"/>
  <c r="B48" i="9" s="1"/>
  <c r="B269" i="11"/>
  <c r="B47" i="9" s="1"/>
  <c r="B20" i="13"/>
  <c r="B368" i="11"/>
  <c r="H14" i="2"/>
  <c r="I23" i="9"/>
  <c r="H23" i="9"/>
  <c r="F23" i="9"/>
  <c r="E23" i="9"/>
  <c r="T11" i="13"/>
  <c r="V11" i="13" s="1"/>
  <c r="W11" i="13"/>
  <c r="Y11" i="13" s="1"/>
  <c r="AF11" i="13"/>
  <c r="AH11" i="13"/>
  <c r="AF12" i="13"/>
  <c r="AC11" i="13"/>
  <c r="AD11" i="13" s="1"/>
  <c r="AC10" i="13"/>
  <c r="AC8" i="13"/>
  <c r="AE8" i="13" s="1"/>
  <c r="AC7" i="13"/>
  <c r="AC12" i="13"/>
  <c r="AE12" i="13" s="1"/>
  <c r="AC9" i="13"/>
  <c r="AC6" i="13"/>
  <c r="AD6" i="13" s="1"/>
  <c r="AC5" i="13"/>
  <c r="AE5" i="13" s="1"/>
  <c r="AC4" i="13"/>
  <c r="AE4" i="13" s="1"/>
  <c r="AF10" i="13"/>
  <c r="AH10" i="13"/>
  <c r="AF9" i="13"/>
  <c r="AH9" i="13" s="1"/>
  <c r="AF8" i="13"/>
  <c r="AH8" i="13" s="1"/>
  <c r="AF7" i="13"/>
  <c r="AH7" i="13"/>
  <c r="AF6" i="13"/>
  <c r="AH6" i="13"/>
  <c r="AF5" i="13"/>
  <c r="AH5" i="13" s="1"/>
  <c r="T12" i="13"/>
  <c r="T10" i="13"/>
  <c r="T9" i="13"/>
  <c r="T8" i="13"/>
  <c r="U8" i="13" s="1"/>
  <c r="T7" i="13"/>
  <c r="V7" i="13"/>
  <c r="T6" i="13"/>
  <c r="U6" i="13" s="1"/>
  <c r="T5" i="13"/>
  <c r="V5" i="13" s="1"/>
  <c r="T4" i="13"/>
  <c r="W5" i="13"/>
  <c r="Y5" i="13" s="1"/>
  <c r="W6" i="13"/>
  <c r="Y6" i="13" s="1"/>
  <c r="W7" i="13"/>
  <c r="Y7" i="13"/>
  <c r="W8" i="13"/>
  <c r="Y8" i="13"/>
  <c r="W9" i="13"/>
  <c r="Y9" i="13" s="1"/>
  <c r="W10" i="13"/>
  <c r="Y10" i="13" s="1"/>
  <c r="W12" i="13"/>
  <c r="B7" i="13"/>
  <c r="K12" i="13"/>
  <c r="K11" i="13"/>
  <c r="L11" i="13"/>
  <c r="K10" i="13"/>
  <c r="M10" i="13"/>
  <c r="K9" i="13"/>
  <c r="L9" i="13" s="1"/>
  <c r="K8" i="13"/>
  <c r="L8" i="13" s="1"/>
  <c r="K7" i="13"/>
  <c r="K6" i="13"/>
  <c r="L6" i="13" s="1"/>
  <c r="K5" i="13"/>
  <c r="L5" i="13"/>
  <c r="K4" i="13"/>
  <c r="B4" i="13"/>
  <c r="C4" i="13"/>
  <c r="N12" i="13"/>
  <c r="N11" i="13"/>
  <c r="P11" i="13"/>
  <c r="N10" i="13"/>
  <c r="P10" i="13"/>
  <c r="N9" i="13"/>
  <c r="P9" i="13" s="1"/>
  <c r="N8" i="13"/>
  <c r="P8" i="13" s="1"/>
  <c r="N7" i="13"/>
  <c r="P7" i="13"/>
  <c r="N6" i="13"/>
  <c r="P6" i="13"/>
  <c r="N5" i="13"/>
  <c r="P5" i="13" s="1"/>
  <c r="B12" i="13"/>
  <c r="C12" i="13" s="1"/>
  <c r="B11" i="13"/>
  <c r="D11" i="13"/>
  <c r="B10" i="13"/>
  <c r="C10" i="13"/>
  <c r="B9" i="13"/>
  <c r="D9" i="13" s="1"/>
  <c r="B8" i="13"/>
  <c r="D8" i="13" s="1"/>
  <c r="B6" i="13"/>
  <c r="B5" i="13"/>
  <c r="C5" i="13" s="1"/>
  <c r="E5" i="13"/>
  <c r="G5" i="13" s="1"/>
  <c r="E6" i="13"/>
  <c r="G6" i="13"/>
  <c r="E7" i="13"/>
  <c r="G7" i="13"/>
  <c r="E8" i="13"/>
  <c r="G8" i="13" s="1"/>
  <c r="E9" i="13"/>
  <c r="G9" i="13" s="1"/>
  <c r="E10" i="13"/>
  <c r="G10" i="13"/>
  <c r="E11" i="13"/>
  <c r="G11" i="13"/>
  <c r="E12" i="13"/>
  <c r="G12" i="13" s="1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I116" i="2"/>
  <c r="H116" i="2"/>
  <c r="K117" i="2"/>
  <c r="H117" i="2"/>
  <c r="H47" i="5"/>
  <c r="E47" i="5"/>
  <c r="H35" i="5"/>
  <c r="E35" i="5"/>
  <c r="H21" i="5"/>
  <c r="E21" i="5"/>
  <c r="E14" i="5"/>
  <c r="H30" i="5"/>
  <c r="E30" i="5"/>
  <c r="H14" i="5"/>
  <c r="J249" i="11"/>
  <c r="J267" i="11"/>
  <c r="P454" i="11"/>
  <c r="P455" i="11"/>
  <c r="P456" i="11"/>
  <c r="P457" i="11"/>
  <c r="B267" i="11"/>
  <c r="G27" i="9"/>
  <c r="D27" i="9"/>
  <c r="C27" i="9"/>
  <c r="H8" i="2"/>
  <c r="J8" i="2"/>
  <c r="J9" i="2" s="1"/>
  <c r="I9" i="2" s="1"/>
  <c r="K8" i="2"/>
  <c r="I8" i="2" s="1"/>
  <c r="K9" i="2"/>
  <c r="H10" i="2"/>
  <c r="K10" i="2"/>
  <c r="D16" i="5"/>
  <c r="C16" i="5" s="1"/>
  <c r="G16" i="5"/>
  <c r="E31" i="5"/>
  <c r="D31" i="5"/>
  <c r="H31" i="5"/>
  <c r="G31" i="5" s="1"/>
  <c r="C11" i="9"/>
  <c r="E15" i="9"/>
  <c r="G121" i="11" s="1"/>
  <c r="F15" i="9"/>
  <c r="H73" i="11" s="1"/>
  <c r="H74" i="11" s="1"/>
  <c r="H15" i="9"/>
  <c r="J171" i="11" s="1"/>
  <c r="I15" i="9"/>
  <c r="K153" i="11" s="1"/>
  <c r="K154" i="11" s="1"/>
  <c r="K171" i="11"/>
  <c r="K172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/>
  <c r="C18" i="1"/>
  <c r="G18" i="1"/>
  <c r="C19" i="1"/>
  <c r="G19" i="1"/>
  <c r="C20" i="1"/>
  <c r="G20" i="1" s="1"/>
  <c r="C21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J108" i="2"/>
  <c r="J95" i="2"/>
  <c r="J91" i="2"/>
  <c r="J107" i="2"/>
  <c r="J101" i="2"/>
  <c r="J111" i="2"/>
  <c r="J113" i="2"/>
  <c r="J87" i="2"/>
  <c r="J115" i="2"/>
  <c r="J103" i="2"/>
  <c r="J112" i="2"/>
  <c r="J84" i="2"/>
  <c r="J100" i="2"/>
  <c r="J94" i="2"/>
  <c r="J96" i="2"/>
  <c r="J106" i="2"/>
  <c r="J88" i="2"/>
  <c r="J92" i="2"/>
  <c r="L10" i="13"/>
  <c r="D10" i="13"/>
  <c r="L12" i="13"/>
  <c r="C8" i="13"/>
  <c r="M12" i="13"/>
  <c r="U11" i="13"/>
  <c r="V4" i="13"/>
  <c r="M5" i="13"/>
  <c r="U4" i="13"/>
  <c r="AE6" i="13"/>
  <c r="D4" i="13"/>
  <c r="D10" i="9"/>
  <c r="F452" i="11" s="1"/>
  <c r="H29" i="9"/>
  <c r="E453" i="11"/>
  <c r="P453" i="11" s="1"/>
  <c r="E23" i="5"/>
  <c r="E20" i="5"/>
  <c r="H249" i="11"/>
  <c r="H267" i="11"/>
  <c r="F12" i="13"/>
  <c r="O12" i="13"/>
  <c r="P12" i="13" s="1"/>
  <c r="AG12" i="13"/>
  <c r="AH12" i="13" s="1"/>
  <c r="C2" i="13"/>
  <c r="L2" i="13"/>
  <c r="H350" i="11"/>
  <c r="AG13" i="13"/>
  <c r="F28" i="9"/>
  <c r="H450" i="11"/>
  <c r="AD2" i="13"/>
  <c r="AE7" i="13"/>
  <c r="H75" i="11"/>
  <c r="H76" i="11" s="1"/>
  <c r="H121" i="11"/>
  <c r="H122" i="11"/>
  <c r="H107" i="11"/>
  <c r="H108" i="11"/>
  <c r="H235" i="11"/>
  <c r="H236" i="11" s="1"/>
  <c r="H11" i="11"/>
  <c r="H12" i="11"/>
  <c r="H153" i="11"/>
  <c r="H154" i="11" s="1"/>
  <c r="U7" i="13"/>
  <c r="J97" i="2"/>
  <c r="AD7" i="13"/>
  <c r="M11" i="13"/>
  <c r="K217" i="11"/>
  <c r="K73" i="11"/>
  <c r="K74" i="11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I29" i="9"/>
  <c r="B48" i="13"/>
  <c r="AC48" i="13" s="1"/>
  <c r="B49" i="13"/>
  <c r="K49" i="13" s="1"/>
  <c r="F38" i="9"/>
  <c r="U5" i="13"/>
  <c r="M6" i="13"/>
  <c r="J57" i="11"/>
  <c r="J58" i="11" s="1"/>
  <c r="I58" i="11" s="1"/>
  <c r="AD8" i="13"/>
  <c r="J75" i="11"/>
  <c r="J76" i="11"/>
  <c r="C11" i="13"/>
  <c r="J235" i="11"/>
  <c r="I235" i="11" s="1"/>
  <c r="O13" i="13"/>
  <c r="J43" i="11"/>
  <c r="I43" i="11" s="1"/>
  <c r="AD4" i="13"/>
  <c r="L4" i="13"/>
  <c r="M4" i="13"/>
  <c r="B38" i="13"/>
  <c r="T38" i="13"/>
  <c r="T40" i="13"/>
  <c r="G107" i="11"/>
  <c r="G108" i="11" s="1"/>
  <c r="F108" i="11" s="1"/>
  <c r="G201" i="11"/>
  <c r="F201" i="11" s="1"/>
  <c r="G219" i="11"/>
  <c r="G220" i="11" s="1"/>
  <c r="F220" i="11" s="1"/>
  <c r="G8" i="2"/>
  <c r="G9" i="2" s="1"/>
  <c r="G118" i="2"/>
  <c r="G116" i="2"/>
  <c r="F116" i="2"/>
  <c r="E116" i="2" s="1"/>
  <c r="O116" i="2" s="1"/>
  <c r="G10" i="2"/>
  <c r="F10" i="2"/>
  <c r="T49" i="13"/>
  <c r="AC38" i="13"/>
  <c r="N38" i="16"/>
  <c r="L52" i="16"/>
  <c r="N58" i="16"/>
  <c r="N40" i="16"/>
  <c r="N56" i="16"/>
  <c r="L27" i="16"/>
  <c r="L26" i="16"/>
  <c r="N74" i="16"/>
  <c r="N52" i="16"/>
  <c r="L79" i="16"/>
  <c r="B35" i="13"/>
  <c r="K35" i="13" s="1"/>
  <c r="R35" i="13" s="1"/>
  <c r="B62" i="13"/>
  <c r="AC62" i="13" s="1"/>
  <c r="AJ62" i="13" s="1"/>
  <c r="K40" i="13"/>
  <c r="AC40" i="13"/>
  <c r="K218" i="11"/>
  <c r="J105" i="11"/>
  <c r="I105" i="11"/>
  <c r="K235" i="11"/>
  <c r="H169" i="11"/>
  <c r="H201" i="11"/>
  <c r="H202" i="11" s="1"/>
  <c r="J85" i="2"/>
  <c r="J114" i="2"/>
  <c r="J102" i="2"/>
  <c r="H28" i="9"/>
  <c r="J450" i="11" s="1"/>
  <c r="H185" i="11"/>
  <c r="H186" i="11" s="1"/>
  <c r="J83" i="2"/>
  <c r="J82" i="2" s="1"/>
  <c r="J93" i="2"/>
  <c r="H123" i="11"/>
  <c r="J105" i="2"/>
  <c r="J109" i="2"/>
  <c r="D9" i="9"/>
  <c r="F451" i="11"/>
  <c r="N67" i="16"/>
  <c r="H217" i="11"/>
  <c r="J89" i="2"/>
  <c r="J110" i="2"/>
  <c r="J90" i="2"/>
  <c r="K43" i="11"/>
  <c r="K44" i="11" s="1"/>
  <c r="J98" i="2"/>
  <c r="J86" i="2"/>
  <c r="C17" i="9"/>
  <c r="G249" i="11"/>
  <c r="G258" i="11" s="1"/>
  <c r="G266" i="11" s="1"/>
  <c r="K20" i="13"/>
  <c r="AD9" i="13"/>
  <c r="AE9" i="13"/>
  <c r="B21" i="13"/>
  <c r="K21" i="13" s="1"/>
  <c r="K219" i="11"/>
  <c r="K220" i="11" s="1"/>
  <c r="K169" i="11"/>
  <c r="K170" i="11"/>
  <c r="K59" i="11"/>
  <c r="K233" i="11"/>
  <c r="K234" i="11" s="1"/>
  <c r="K155" i="11"/>
  <c r="K137" i="11"/>
  <c r="K75" i="11"/>
  <c r="K76" i="11" s="1"/>
  <c r="I76" i="11" s="1"/>
  <c r="K203" i="11"/>
  <c r="K123" i="11"/>
  <c r="K124" i="11" s="1"/>
  <c r="K9" i="11"/>
  <c r="K201" i="11"/>
  <c r="K202" i="11" s="1"/>
  <c r="K121" i="11"/>
  <c r="K122" i="11"/>
  <c r="K91" i="11"/>
  <c r="K187" i="11"/>
  <c r="K105" i="11"/>
  <c r="K41" i="11"/>
  <c r="K42" i="11" s="1"/>
  <c r="K25" i="11"/>
  <c r="K26" i="11"/>
  <c r="K11" i="11"/>
  <c r="K57" i="11"/>
  <c r="K27" i="11"/>
  <c r="K28" i="11"/>
  <c r="T58" i="13"/>
  <c r="K139" i="11"/>
  <c r="K89" i="11"/>
  <c r="K90" i="11" s="1"/>
  <c r="C7" i="13"/>
  <c r="D7" i="13"/>
  <c r="K185" i="11"/>
  <c r="K107" i="11"/>
  <c r="K108" i="11" s="1"/>
  <c r="V8" i="13"/>
  <c r="U9" i="13"/>
  <c r="V9" i="13"/>
  <c r="H139" i="11"/>
  <c r="H233" i="11"/>
  <c r="H25" i="11"/>
  <c r="H26" i="11" s="1"/>
  <c r="H187" i="11"/>
  <c r="H57" i="11"/>
  <c r="H58" i="11" s="1"/>
  <c r="V6" i="13"/>
  <c r="F29" i="9"/>
  <c r="H268" i="11"/>
  <c r="H43" i="11"/>
  <c r="H44" i="11" s="1"/>
  <c r="H105" i="11"/>
  <c r="H106" i="11" s="1"/>
  <c r="C9" i="13"/>
  <c r="H171" i="11"/>
  <c r="H172" i="11"/>
  <c r="H203" i="11"/>
  <c r="H204" i="11" s="1"/>
  <c r="AE11" i="13"/>
  <c r="H219" i="11"/>
  <c r="H155" i="11"/>
  <c r="H156" i="11" s="1"/>
  <c r="H89" i="11"/>
  <c r="H90" i="11"/>
  <c r="H9" i="11"/>
  <c r="H41" i="11"/>
  <c r="H42" i="11"/>
  <c r="H59" i="11"/>
  <c r="H60" i="11" s="1"/>
  <c r="H137" i="11"/>
  <c r="H91" i="11"/>
  <c r="H92" i="11"/>
  <c r="K236" i="11"/>
  <c r="H218" i="11"/>
  <c r="T62" i="13"/>
  <c r="AA62" i="13" s="1"/>
  <c r="K62" i="13"/>
  <c r="R62" i="13" s="1"/>
  <c r="H10" i="11"/>
  <c r="K10" i="11"/>
  <c r="K186" i="11"/>
  <c r="H220" i="11"/>
  <c r="K204" i="11"/>
  <c r="H188" i="11"/>
  <c r="K58" i="11"/>
  <c r="K12" i="11"/>
  <c r="K138" i="11"/>
  <c r="K156" i="11"/>
  <c r="AC21" i="13"/>
  <c r="AJ21" i="13" s="1"/>
  <c r="K140" i="11"/>
  <c r="K106" i="11"/>
  <c r="K60" i="11"/>
  <c r="H234" i="11"/>
  <c r="K188" i="11"/>
  <c r="H138" i="11"/>
  <c r="H140" i="11"/>
  <c r="K92" i="11"/>
  <c r="K52" i="13"/>
  <c r="R52" i="13" s="1"/>
  <c r="AC26" i="13"/>
  <c r="K26" i="13"/>
  <c r="I26" i="13"/>
  <c r="T26" i="13"/>
  <c r="J123" i="11"/>
  <c r="J169" i="11"/>
  <c r="J117" i="2"/>
  <c r="I117" i="2" s="1"/>
  <c r="M9" i="13"/>
  <c r="G267" i="11"/>
  <c r="J59" i="11"/>
  <c r="N80" i="16"/>
  <c r="J9" i="11"/>
  <c r="F13" i="13"/>
  <c r="J106" i="11"/>
  <c r="I106" i="11" s="1"/>
  <c r="N68" i="16"/>
  <c r="J153" i="11"/>
  <c r="N18" i="16"/>
  <c r="H383" i="11"/>
  <c r="J201" i="11"/>
  <c r="J91" i="11"/>
  <c r="J92" i="11"/>
  <c r="I92" i="11" s="1"/>
  <c r="J233" i="11"/>
  <c r="J89" i="11"/>
  <c r="J10" i="2"/>
  <c r="J236" i="11"/>
  <c r="J187" i="11"/>
  <c r="J11" i="11"/>
  <c r="J27" i="11"/>
  <c r="J139" i="11"/>
  <c r="N76" i="16"/>
  <c r="G84" i="17"/>
  <c r="AD12" i="13"/>
  <c r="M8" i="13"/>
  <c r="J104" i="2"/>
  <c r="J121" i="11"/>
  <c r="H349" i="11"/>
  <c r="J73" i="11"/>
  <c r="J203" i="11"/>
  <c r="J258" i="11"/>
  <c r="J266" i="11"/>
  <c r="N66" i="16"/>
  <c r="J155" i="11"/>
  <c r="J217" i="11"/>
  <c r="J218" i="11" s="1"/>
  <c r="J107" i="11"/>
  <c r="J108" i="11"/>
  <c r="I108" i="11" s="1"/>
  <c r="J414" i="11"/>
  <c r="J219" i="11"/>
  <c r="N16" i="16"/>
  <c r="J25" i="11"/>
  <c r="J185" i="11"/>
  <c r="J41" i="11"/>
  <c r="J42" i="11" s="1"/>
  <c r="I42" i="11" s="1"/>
  <c r="G235" i="11"/>
  <c r="F235" i="11" s="1"/>
  <c r="E235" i="11" s="1"/>
  <c r="P235" i="11" s="1"/>
  <c r="G35" i="16"/>
  <c r="G36" i="16" s="1"/>
  <c r="J137" i="11"/>
  <c r="T47" i="13"/>
  <c r="T37" i="13"/>
  <c r="K63" i="13"/>
  <c r="R63" i="13"/>
  <c r="T63" i="13"/>
  <c r="AC63" i="13"/>
  <c r="K45" i="13"/>
  <c r="T45" i="13"/>
  <c r="AC45" i="13"/>
  <c r="H170" i="11"/>
  <c r="T35" i="13"/>
  <c r="AA35" i="13" s="1"/>
  <c r="K38" i="13"/>
  <c r="X13" i="13"/>
  <c r="U10" i="13"/>
  <c r="C16" i="9"/>
  <c r="C15" i="9" s="1"/>
  <c r="V10" i="13"/>
  <c r="J309" i="11"/>
  <c r="J387" i="11"/>
  <c r="J312" i="11"/>
  <c r="AA49" i="13"/>
  <c r="J413" i="11"/>
  <c r="J375" i="11"/>
  <c r="J385" i="11"/>
  <c r="J307" i="11"/>
  <c r="I217" i="11"/>
  <c r="H258" i="11"/>
  <c r="G11" i="11"/>
  <c r="X12" i="13"/>
  <c r="Y12" i="13" s="1"/>
  <c r="J119" i="2"/>
  <c r="I119" i="2" s="1"/>
  <c r="N81" i="16"/>
  <c r="J311" i="11"/>
  <c r="J274" i="11"/>
  <c r="I218" i="11"/>
  <c r="I49" i="13"/>
  <c r="I75" i="11"/>
  <c r="J308" i="11"/>
  <c r="J405" i="11"/>
  <c r="D12" i="13"/>
  <c r="J398" i="11"/>
  <c r="J279" i="11"/>
  <c r="J395" i="11"/>
  <c r="J285" i="11"/>
  <c r="J276" i="11"/>
  <c r="J313" i="11"/>
  <c r="J410" i="11"/>
  <c r="J394" i="11"/>
  <c r="G137" i="11"/>
  <c r="J282" i="11"/>
  <c r="H314" i="11"/>
  <c r="AA58" i="13"/>
  <c r="J396" i="11"/>
  <c r="J273" i="11"/>
  <c r="I236" i="11"/>
  <c r="AC35" i="13"/>
  <c r="AJ35" i="13" s="1"/>
  <c r="I62" i="9"/>
  <c r="J281" i="11"/>
  <c r="F118" i="2"/>
  <c r="W4" i="13"/>
  <c r="I10" i="2"/>
  <c r="E10" i="2"/>
  <c r="O10" i="2" s="1"/>
  <c r="J278" i="11"/>
  <c r="B29" i="13"/>
  <c r="H278" i="11"/>
  <c r="F267" i="11"/>
  <c r="J293" i="11"/>
  <c r="J291" i="11"/>
  <c r="J400" i="11"/>
  <c r="H403" i="11"/>
  <c r="H359" i="11"/>
  <c r="H367" i="11" s="1"/>
  <c r="H368" i="11"/>
  <c r="T20" i="13"/>
  <c r="AC20" i="13"/>
  <c r="H310" i="11"/>
  <c r="B61" i="13"/>
  <c r="J295" i="11"/>
  <c r="J376" i="11"/>
  <c r="J298" i="11"/>
  <c r="R38" i="13"/>
  <c r="H374" i="11"/>
  <c r="AC30" i="13"/>
  <c r="T30" i="13"/>
  <c r="K30" i="13"/>
  <c r="I30" i="13"/>
  <c r="T39" i="13"/>
  <c r="AC39" i="13"/>
  <c r="I46" i="13"/>
  <c r="AC46" i="13"/>
  <c r="T46" i="13"/>
  <c r="J302" i="11"/>
  <c r="J406" i="11"/>
  <c r="J290" i="11"/>
  <c r="J314" i="11"/>
  <c r="J286" i="11"/>
  <c r="J287" i="11"/>
  <c r="J304" i="11"/>
  <c r="J297" i="11"/>
  <c r="J294" i="11"/>
  <c r="J299" i="11"/>
  <c r="J373" i="11"/>
  <c r="J296" i="11"/>
  <c r="J271" i="11"/>
  <c r="AA38" i="13"/>
  <c r="H65" i="9" s="1"/>
  <c r="AA47" i="13"/>
  <c r="J391" i="11"/>
  <c r="AA45" i="13"/>
  <c r="H72" i="9" s="1"/>
  <c r="J384" i="11"/>
  <c r="J379" i="11"/>
  <c r="J382" i="11"/>
  <c r="J388" i="11"/>
  <c r="J392" i="11"/>
  <c r="J288" i="11"/>
  <c r="J399" i="11"/>
  <c r="U12" i="13"/>
  <c r="J389" i="11"/>
  <c r="J381" i="11"/>
  <c r="J300" i="11"/>
  <c r="AA63" i="13"/>
  <c r="J292" i="11"/>
  <c r="J303" i="11"/>
  <c r="J280" i="11"/>
  <c r="V12" i="13"/>
  <c r="V14" i="13"/>
  <c r="H32" i="9" s="1"/>
  <c r="AA37" i="13"/>
  <c r="J275" i="11"/>
  <c r="J404" i="11"/>
  <c r="J408" i="11"/>
  <c r="L80" i="16"/>
  <c r="L76" i="16"/>
  <c r="L68" i="16"/>
  <c r="F249" i="11"/>
  <c r="J377" i="11"/>
  <c r="J397" i="11"/>
  <c r="H312" i="11"/>
  <c r="G119" i="2"/>
  <c r="F119" i="2" s="1"/>
  <c r="G117" i="2"/>
  <c r="F117" i="2" s="1"/>
  <c r="E117" i="2" s="1"/>
  <c r="O117" i="2" s="1"/>
  <c r="I118" i="2"/>
  <c r="AI7" i="13"/>
  <c r="AJ7" i="13" s="1"/>
  <c r="AI6" i="13"/>
  <c r="AJ6" i="13"/>
  <c r="AI9" i="13"/>
  <c r="AJ9" i="13" s="1"/>
  <c r="AI11" i="13"/>
  <c r="AJ11" i="13"/>
  <c r="AI8" i="13"/>
  <c r="AJ8" i="13" s="1"/>
  <c r="AI5" i="13"/>
  <c r="AJ5" i="13" s="1"/>
  <c r="AI10" i="13"/>
  <c r="AJ10" i="13" s="1"/>
  <c r="H272" i="11"/>
  <c r="B23" i="13"/>
  <c r="AJ59" i="13"/>
  <c r="J172" i="11"/>
  <c r="I172" i="11" s="1"/>
  <c r="I171" i="11"/>
  <c r="I41" i="13"/>
  <c r="T41" i="13"/>
  <c r="K41" i="13"/>
  <c r="AC41" i="13"/>
  <c r="I55" i="13"/>
  <c r="AC55" i="13"/>
  <c r="T55" i="13"/>
  <c r="K55" i="13"/>
  <c r="K33" i="13"/>
  <c r="T33" i="13"/>
  <c r="AC33" i="13"/>
  <c r="I33" i="13"/>
  <c r="J305" i="11"/>
  <c r="H305" i="11"/>
  <c r="B56" i="13"/>
  <c r="J372" i="11"/>
  <c r="J284" i="11"/>
  <c r="J301" i="11"/>
  <c r="I52" i="13"/>
  <c r="I37" i="13"/>
  <c r="I60" i="13"/>
  <c r="D6" i="13"/>
  <c r="I25" i="13"/>
  <c r="I45" i="13"/>
  <c r="C6" i="13"/>
  <c r="C14" i="13"/>
  <c r="E20" i="9" s="1"/>
  <c r="I48" i="13"/>
  <c r="I47" i="13"/>
  <c r="I38" i="13"/>
  <c r="I63" i="13"/>
  <c r="I35" i="13"/>
  <c r="T57" i="13"/>
  <c r="K57" i="13"/>
  <c r="AC57" i="13"/>
  <c r="AA26" i="13"/>
  <c r="H53" i="9" s="1"/>
  <c r="I58" i="13"/>
  <c r="K58" i="13"/>
  <c r="AC58" i="13"/>
  <c r="H9" i="2"/>
  <c r="F9" i="2"/>
  <c r="E9" i="2" s="1"/>
  <c r="O9" i="2" s="1"/>
  <c r="F8" i="2"/>
  <c r="E8" i="2" s="1"/>
  <c r="O8" i="2" s="1"/>
  <c r="AC43" i="13"/>
  <c r="I43" i="13"/>
  <c r="T43" i="13"/>
  <c r="K43" i="13"/>
  <c r="I59" i="13"/>
  <c r="K59" i="13"/>
  <c r="T59" i="13"/>
  <c r="G369" i="11"/>
  <c r="E28" i="9"/>
  <c r="G350" i="11"/>
  <c r="E29" i="9"/>
  <c r="G268" i="11" s="1"/>
  <c r="F268" i="11" s="1"/>
  <c r="H124" i="11"/>
  <c r="H384" i="11"/>
  <c r="H275" i="11"/>
  <c r="H285" i="11"/>
  <c r="H380" i="11"/>
  <c r="H281" i="11"/>
  <c r="H389" i="11"/>
  <c r="H377" i="11"/>
  <c r="H297" i="11"/>
  <c r="H291" i="11"/>
  <c r="H379" i="11"/>
  <c r="H298" i="11"/>
  <c r="H397" i="11"/>
  <c r="R26" i="13"/>
  <c r="F53" i="9" s="1"/>
  <c r="H381" i="11"/>
  <c r="H411" i="11"/>
  <c r="H286" i="11"/>
  <c r="H307" i="11"/>
  <c r="H288" i="11"/>
  <c r="H284" i="11"/>
  <c r="R45" i="13"/>
  <c r="F72" i="9"/>
  <c r="H274" i="11"/>
  <c r="H406" i="11"/>
  <c r="H382" i="11"/>
  <c r="H387" i="11"/>
  <c r="H292" i="11"/>
  <c r="H303" i="11"/>
  <c r="H280" i="11"/>
  <c r="H401" i="11"/>
  <c r="H299" i="11"/>
  <c r="H413" i="11"/>
  <c r="H405" i="11"/>
  <c r="H287" i="11"/>
  <c r="H279" i="11"/>
  <c r="H388" i="11"/>
  <c r="H385" i="11"/>
  <c r="H294" i="11"/>
  <c r="H375" i="11"/>
  <c r="H376" i="11"/>
  <c r="H396" i="11"/>
  <c r="H408" i="11"/>
  <c r="H301" i="11"/>
  <c r="R49" i="13"/>
  <c r="F76" i="9" s="1"/>
  <c r="H400" i="11"/>
  <c r="H302" i="11"/>
  <c r="H373" i="11"/>
  <c r="H372" i="11"/>
  <c r="H395" i="11"/>
  <c r="H308" i="11"/>
  <c r="H412" i="11"/>
  <c r="H300" i="11"/>
  <c r="F300" i="11" s="1"/>
  <c r="H392" i="11"/>
  <c r="H283" i="11"/>
  <c r="H311" i="11"/>
  <c r="M7" i="13"/>
  <c r="H304" i="11"/>
  <c r="H273" i="11"/>
  <c r="H393" i="11"/>
  <c r="H295" i="11"/>
  <c r="H391" i="11"/>
  <c r="H414" i="11"/>
  <c r="H394" i="11"/>
  <c r="H282" i="11"/>
  <c r="H293" i="11"/>
  <c r="H276" i="11"/>
  <c r="H409" i="11"/>
  <c r="H404" i="11"/>
  <c r="L7" i="13"/>
  <c r="L14" i="13"/>
  <c r="F20" i="9" s="1"/>
  <c r="H271" i="11"/>
  <c r="H415" i="11"/>
  <c r="H296" i="11"/>
  <c r="H313" i="11"/>
  <c r="H290" i="11"/>
  <c r="H402" i="11"/>
  <c r="K27" i="13"/>
  <c r="T27" i="13"/>
  <c r="I27" i="13"/>
  <c r="AC27" i="13"/>
  <c r="T44" i="13"/>
  <c r="AA44" i="13" s="1"/>
  <c r="I44" i="13"/>
  <c r="K44" i="13"/>
  <c r="R44" i="13" s="1"/>
  <c r="AC44" i="13"/>
  <c r="AJ44" i="13"/>
  <c r="K51" i="13"/>
  <c r="T51" i="13"/>
  <c r="I51" i="13"/>
  <c r="AC51" i="13"/>
  <c r="AJ51" i="13" s="1"/>
  <c r="H386" i="11"/>
  <c r="J386" i="11"/>
  <c r="H398" i="11"/>
  <c r="H410" i="11"/>
  <c r="I451" i="11"/>
  <c r="E451" i="11" s="1"/>
  <c r="P451" i="11"/>
  <c r="C9" i="9"/>
  <c r="J380" i="11"/>
  <c r="J310" i="11"/>
  <c r="J411" i="11"/>
  <c r="H399" i="11"/>
  <c r="C31" i="5"/>
  <c r="AJ48" i="13"/>
  <c r="I75" i="9"/>
  <c r="AJ45" i="13"/>
  <c r="I72" i="9" s="1"/>
  <c r="AJ63" i="13"/>
  <c r="I90" i="9" s="1"/>
  <c r="AJ52" i="13"/>
  <c r="I79" i="9" s="1"/>
  <c r="AJ47" i="13"/>
  <c r="I74" i="9" s="1"/>
  <c r="AD10" i="13"/>
  <c r="AJ26" i="13"/>
  <c r="I53" i="9"/>
  <c r="AE10" i="13"/>
  <c r="AJ40" i="13"/>
  <c r="I67" i="9" s="1"/>
  <c r="G4" i="13"/>
  <c r="J412" i="11"/>
  <c r="AJ38" i="13"/>
  <c r="I65" i="9" s="1"/>
  <c r="J383" i="11"/>
  <c r="J403" i="11"/>
  <c r="M55" i="16"/>
  <c r="G22" i="16"/>
  <c r="G44" i="17" s="1"/>
  <c r="N34" i="16"/>
  <c r="G80" i="17"/>
  <c r="L67" i="16"/>
  <c r="N55" i="16"/>
  <c r="J202" i="11"/>
  <c r="I202" i="11" s="1"/>
  <c r="I201" i="11"/>
  <c r="E201" i="11" s="1"/>
  <c r="I91" i="11"/>
  <c r="I169" i="11"/>
  <c r="J170" i="11"/>
  <c r="I170" i="11" s="1"/>
  <c r="J124" i="11"/>
  <c r="I124" i="11" s="1"/>
  <c r="I123" i="11"/>
  <c r="AI4" i="13"/>
  <c r="AJ4" i="13"/>
  <c r="I107" i="11"/>
  <c r="J154" i="11"/>
  <c r="I154" i="11" s="1"/>
  <c r="I153" i="11"/>
  <c r="J10" i="11"/>
  <c r="I10" i="11" s="1"/>
  <c r="I9" i="11"/>
  <c r="J248" i="11"/>
  <c r="I41" i="11"/>
  <c r="I73" i="11"/>
  <c r="J74" i="11"/>
  <c r="I74" i="11" s="1"/>
  <c r="J186" i="11"/>
  <c r="I186" i="11" s="1"/>
  <c r="I185" i="11"/>
  <c r="J138" i="11"/>
  <c r="I138" i="11"/>
  <c r="I137" i="11"/>
  <c r="J26" i="11"/>
  <c r="I26" i="11"/>
  <c r="I25" i="11"/>
  <c r="J156" i="11"/>
  <c r="I156" i="11" s="1"/>
  <c r="I155" i="11"/>
  <c r="J60" i="11"/>
  <c r="I60" i="11"/>
  <c r="I59" i="11"/>
  <c r="J140" i="11"/>
  <c r="I140" i="11"/>
  <c r="I139" i="11"/>
  <c r="J90" i="11"/>
  <c r="I90" i="11" s="1"/>
  <c r="I89" i="11"/>
  <c r="I233" i="11"/>
  <c r="J234" i="11"/>
  <c r="I234" i="11"/>
  <c r="J220" i="11"/>
  <c r="I220" i="11"/>
  <c r="E220" i="11" s="1"/>
  <c r="P220" i="11" s="1"/>
  <c r="I219" i="11"/>
  <c r="J122" i="11"/>
  <c r="I122" i="11"/>
  <c r="I121" i="11"/>
  <c r="I27" i="11"/>
  <c r="J28" i="11"/>
  <c r="I28" i="11"/>
  <c r="J12" i="11"/>
  <c r="I12" i="11"/>
  <c r="I11" i="11"/>
  <c r="H6" i="13"/>
  <c r="I6" i="13" s="1"/>
  <c r="E118" i="2"/>
  <c r="O118" i="2" s="1"/>
  <c r="I203" i="11"/>
  <c r="J204" i="11"/>
  <c r="I204" i="11"/>
  <c r="J188" i="11"/>
  <c r="I188" i="11" s="1"/>
  <c r="I187" i="11"/>
  <c r="G138" i="11"/>
  <c r="F138" i="11"/>
  <c r="E138" i="11" s="1"/>
  <c r="P138" i="11" s="1"/>
  <c r="F137" i="11"/>
  <c r="E137" i="11"/>
  <c r="E108" i="11"/>
  <c r="P108" i="11"/>
  <c r="H4" i="13"/>
  <c r="Y4" i="13"/>
  <c r="Z4" i="13"/>
  <c r="G12" i="11"/>
  <c r="F12" i="11" s="1"/>
  <c r="F11" i="11"/>
  <c r="E11" i="11"/>
  <c r="H266" i="11"/>
  <c r="F266" i="11"/>
  <c r="F258" i="11"/>
  <c r="H226" i="11"/>
  <c r="H227" i="11" s="1"/>
  <c r="H84" i="11"/>
  <c r="H85" i="11" s="1"/>
  <c r="H178" i="11"/>
  <c r="H179" i="11" s="1"/>
  <c r="H228" i="11"/>
  <c r="H229" i="11" s="1"/>
  <c r="H196" i="11"/>
  <c r="H197" i="11" s="1"/>
  <c r="H34" i="11"/>
  <c r="H35" i="11"/>
  <c r="H130" i="11"/>
  <c r="H131" i="11" s="1"/>
  <c r="H20" i="11"/>
  <c r="H21" i="11" s="1"/>
  <c r="H66" i="11"/>
  <c r="H67" i="11" s="1"/>
  <c r="H194" i="11"/>
  <c r="H195" i="11" s="1"/>
  <c r="H180" i="11"/>
  <c r="H181" i="11"/>
  <c r="H162" i="11"/>
  <c r="H163" i="11" s="1"/>
  <c r="H18" i="11"/>
  <c r="H19" i="11" s="1"/>
  <c r="H50" i="11"/>
  <c r="H51" i="11" s="1"/>
  <c r="H98" i="11"/>
  <c r="H99" i="11" s="1"/>
  <c r="H242" i="11"/>
  <c r="H243" i="11" s="1"/>
  <c r="H212" i="11"/>
  <c r="H213" i="11"/>
  <c r="H146" i="11"/>
  <c r="H147" i="11" s="1"/>
  <c r="H164" i="11"/>
  <c r="H165" i="11" s="1"/>
  <c r="H148" i="11"/>
  <c r="H149" i="11" s="1"/>
  <c r="H100" i="11"/>
  <c r="H101" i="11" s="1"/>
  <c r="H132" i="11"/>
  <c r="H133" i="11" s="1"/>
  <c r="G20" i="11"/>
  <c r="G228" i="11"/>
  <c r="AA27" i="13"/>
  <c r="H54" i="9" s="1"/>
  <c r="R59" i="13"/>
  <c r="T56" i="13"/>
  <c r="K56" i="13"/>
  <c r="AC56" i="13"/>
  <c r="I56" i="13"/>
  <c r="I29" i="13"/>
  <c r="K29" i="13"/>
  <c r="T29" i="13"/>
  <c r="AC29" i="13"/>
  <c r="R27" i="13"/>
  <c r="F54" i="9"/>
  <c r="AJ39" i="13"/>
  <c r="R43" i="13"/>
  <c r="AJ57" i="13"/>
  <c r="I84" i="9"/>
  <c r="R55" i="13"/>
  <c r="F82" i="9"/>
  <c r="AA39" i="13"/>
  <c r="AA43" i="13"/>
  <c r="AJ58" i="13"/>
  <c r="I85" i="9" s="1"/>
  <c r="AA55" i="13"/>
  <c r="AE18" i="13"/>
  <c r="I36" i="9" s="1"/>
  <c r="AE14" i="13"/>
  <c r="I32" i="9" s="1"/>
  <c r="AE16" i="13"/>
  <c r="I34" i="9" s="1"/>
  <c r="AE17" i="13"/>
  <c r="I35" i="9"/>
  <c r="AE15" i="13"/>
  <c r="I33" i="9" s="1"/>
  <c r="AE13" i="13"/>
  <c r="AE19" i="13"/>
  <c r="I37" i="9" s="1"/>
  <c r="AA51" i="13"/>
  <c r="H78" i="9"/>
  <c r="R58" i="13"/>
  <c r="F85" i="9"/>
  <c r="AJ33" i="13"/>
  <c r="I60" i="9" s="1"/>
  <c r="AJ55" i="13"/>
  <c r="I82" i="9"/>
  <c r="R51" i="13"/>
  <c r="F78" i="9"/>
  <c r="AJ43" i="13"/>
  <c r="AA33" i="13"/>
  <c r="H60" i="9"/>
  <c r="AC23" i="13"/>
  <c r="I23" i="13"/>
  <c r="K23" i="13"/>
  <c r="R23" i="13" s="1"/>
  <c r="T23" i="13"/>
  <c r="H7" i="13"/>
  <c r="I7" i="13"/>
  <c r="H5" i="13"/>
  <c r="I5" i="13" s="1"/>
  <c r="R33" i="13"/>
  <c r="F60" i="9"/>
  <c r="AJ41" i="13"/>
  <c r="I68" i="9"/>
  <c r="R30" i="13"/>
  <c r="K61" i="13"/>
  <c r="AC61" i="13"/>
  <c r="T61" i="13"/>
  <c r="I61" i="13"/>
  <c r="H8" i="13"/>
  <c r="I8" i="13" s="1"/>
  <c r="F369" i="11"/>
  <c r="F350" i="11"/>
  <c r="G359" i="11"/>
  <c r="F359" i="11" s="1"/>
  <c r="G367" i="11"/>
  <c r="F367" i="11" s="1"/>
  <c r="G368" i="11"/>
  <c r="F368" i="11"/>
  <c r="R41" i="13"/>
  <c r="F68" i="9" s="1"/>
  <c r="U14" i="13"/>
  <c r="H20" i="9"/>
  <c r="U13" i="13"/>
  <c r="H19" i="9"/>
  <c r="AA30" i="13"/>
  <c r="H57" i="9" s="1"/>
  <c r="G393" i="11"/>
  <c r="F393" i="11"/>
  <c r="G402" i="11"/>
  <c r="F402" i="11" s="1"/>
  <c r="G414" i="11"/>
  <c r="F414" i="11"/>
  <c r="G379" i="11"/>
  <c r="F379" i="11" s="1"/>
  <c r="G279" i="11"/>
  <c r="F279" i="11"/>
  <c r="G292" i="11"/>
  <c r="F292" i="11" s="1"/>
  <c r="G385" i="11"/>
  <c r="F385" i="11"/>
  <c r="G272" i="11"/>
  <c r="F272" i="11" s="1"/>
  <c r="G313" i="11"/>
  <c r="F313" i="11"/>
  <c r="G413" i="11"/>
  <c r="F413" i="11" s="1"/>
  <c r="G295" i="11"/>
  <c r="F295" i="11" s="1"/>
  <c r="G396" i="11"/>
  <c r="F396" i="11" s="1"/>
  <c r="G394" i="11"/>
  <c r="F394" i="11"/>
  <c r="G281" i="11"/>
  <c r="F281" i="11" s="1"/>
  <c r="G277" i="11"/>
  <c r="G376" i="11"/>
  <c r="F376" i="11"/>
  <c r="G410" i="11"/>
  <c r="F410" i="11"/>
  <c r="G304" i="11"/>
  <c r="F304" i="11"/>
  <c r="G375" i="11"/>
  <c r="F375" i="11" s="1"/>
  <c r="G305" i="11"/>
  <c r="F305" i="11" s="1"/>
  <c r="G392" i="11"/>
  <c r="F392" i="11" s="1"/>
  <c r="G386" i="11"/>
  <c r="F386" i="11"/>
  <c r="G395" i="11"/>
  <c r="F395" i="11"/>
  <c r="G299" i="11"/>
  <c r="F299" i="11"/>
  <c r="G415" i="11"/>
  <c r="F415" i="11"/>
  <c r="G383" i="11"/>
  <c r="F383" i="11"/>
  <c r="G293" i="11"/>
  <c r="F293" i="11"/>
  <c r="G291" i="11"/>
  <c r="F291" i="11"/>
  <c r="G310" i="11"/>
  <c r="F310" i="11" s="1"/>
  <c r="G398" i="11"/>
  <c r="F398" i="11" s="1"/>
  <c r="G312" i="11"/>
  <c r="F312" i="11" s="1"/>
  <c r="G388" i="11"/>
  <c r="F388" i="11" s="1"/>
  <c r="G409" i="11"/>
  <c r="F409" i="11"/>
  <c r="G391" i="11"/>
  <c r="F391" i="11" s="1"/>
  <c r="G380" i="11"/>
  <c r="F380" i="11"/>
  <c r="G285" i="11"/>
  <c r="F285" i="11"/>
  <c r="G406" i="11"/>
  <c r="F406" i="11" s="1"/>
  <c r="G374" i="11"/>
  <c r="F374" i="11"/>
  <c r="G311" i="11"/>
  <c r="F311" i="11" s="1"/>
  <c r="G287" i="11"/>
  <c r="F287" i="11"/>
  <c r="G284" i="11"/>
  <c r="F284" i="11" s="1"/>
  <c r="G314" i="11"/>
  <c r="F314" i="11" s="1"/>
  <c r="G450" i="11"/>
  <c r="F450" i="11" s="1"/>
  <c r="G389" i="11"/>
  <c r="F389" i="11" s="1"/>
  <c r="G283" i="11"/>
  <c r="F283" i="11"/>
  <c r="G399" i="11"/>
  <c r="F399" i="11" s="1"/>
  <c r="G382" i="11"/>
  <c r="F382" i="11" s="1"/>
  <c r="G411" i="11"/>
  <c r="F411" i="11"/>
  <c r="G271" i="11"/>
  <c r="F271" i="11"/>
  <c r="G297" i="11"/>
  <c r="F297" i="11"/>
  <c r="G309" i="11"/>
  <c r="G403" i="11"/>
  <c r="F403" i="11"/>
  <c r="G308" i="11"/>
  <c r="F308" i="11"/>
  <c r="G290" i="11"/>
  <c r="F290" i="11"/>
  <c r="G276" i="11"/>
  <c r="F276" i="11" s="1"/>
  <c r="G300" i="11"/>
  <c r="G372" i="11"/>
  <c r="F372" i="11" s="1"/>
  <c r="G401" i="11"/>
  <c r="F401" i="11"/>
  <c r="G273" i="11"/>
  <c r="F273" i="11"/>
  <c r="G377" i="11"/>
  <c r="F377" i="11" s="1"/>
  <c r="G280" i="11"/>
  <c r="F280" i="11"/>
  <c r="G387" i="11"/>
  <c r="F387" i="11"/>
  <c r="G294" i="11"/>
  <c r="F294" i="11"/>
  <c r="G275" i="11"/>
  <c r="F275" i="11"/>
  <c r="G404" i="11"/>
  <c r="F404" i="11" s="1"/>
  <c r="G307" i="11"/>
  <c r="F307" i="11"/>
  <c r="G405" i="11"/>
  <c r="F405" i="11" s="1"/>
  <c r="G373" i="11"/>
  <c r="F373" i="11" s="1"/>
  <c r="G282" i="11"/>
  <c r="F282" i="11" s="1"/>
  <c r="G412" i="11"/>
  <c r="F412" i="11" s="1"/>
  <c r="G381" i="11"/>
  <c r="F381" i="11" s="1"/>
  <c r="G349" i="11"/>
  <c r="F349" i="11" s="1"/>
  <c r="G286" i="11"/>
  <c r="F286" i="11" s="1"/>
  <c r="G274" i="11"/>
  <c r="F274" i="11"/>
  <c r="G296" i="11"/>
  <c r="F296" i="11" s="1"/>
  <c r="G302" i="11"/>
  <c r="F302" i="11" s="1"/>
  <c r="G400" i="11"/>
  <c r="F400" i="11"/>
  <c r="G288" i="11"/>
  <c r="F288" i="11" s="1"/>
  <c r="G301" i="11"/>
  <c r="F301" i="11" s="1"/>
  <c r="G298" i="11"/>
  <c r="F298" i="11"/>
  <c r="G408" i="11"/>
  <c r="F408" i="11" s="1"/>
  <c r="G397" i="11"/>
  <c r="F397" i="11"/>
  <c r="G303" i="11"/>
  <c r="F303" i="11" s="1"/>
  <c r="G384" i="11"/>
  <c r="F384" i="11" s="1"/>
  <c r="AA41" i="13"/>
  <c r="H68" i="9" s="1"/>
  <c r="AJ30" i="13"/>
  <c r="I57" i="9" s="1"/>
  <c r="H12" i="13"/>
  <c r="I12" i="13"/>
  <c r="I71" i="9"/>
  <c r="AJ27" i="13"/>
  <c r="I54" i="9" s="1"/>
  <c r="F71" i="9"/>
  <c r="V16" i="13"/>
  <c r="H34" i="9"/>
  <c r="V19" i="13"/>
  <c r="H37" i="9" s="1"/>
  <c r="V13" i="13"/>
  <c r="H31" i="9"/>
  <c r="V17" i="13"/>
  <c r="H35" i="9" s="1"/>
  <c r="J255" i="11" s="1"/>
  <c r="V15" i="13"/>
  <c r="H33" i="9"/>
  <c r="V18" i="13"/>
  <c r="H36" i="9" s="1"/>
  <c r="AA46" i="13"/>
  <c r="H73" i="9" s="1"/>
  <c r="G278" i="11"/>
  <c r="F278" i="11" s="1"/>
  <c r="M19" i="13"/>
  <c r="F37" i="9" s="1"/>
  <c r="H257" i="11" s="1"/>
  <c r="M14" i="13"/>
  <c r="F32" i="9" s="1"/>
  <c r="M17" i="13"/>
  <c r="F35" i="9" s="1"/>
  <c r="Q16" i="13"/>
  <c r="F42" i="9"/>
  <c r="M18" i="13"/>
  <c r="F36" i="9" s="1"/>
  <c r="M16" i="13"/>
  <c r="F34" i="9"/>
  <c r="M15" i="13"/>
  <c r="F33" i="9" s="1"/>
  <c r="Q18" i="13"/>
  <c r="F44" i="9" s="1"/>
  <c r="Q19" i="13"/>
  <c r="F45" i="9" s="1"/>
  <c r="AA59" i="13"/>
  <c r="H71" i="9"/>
  <c r="AI14" i="13"/>
  <c r="I40" i="9" s="1"/>
  <c r="AJ46" i="13"/>
  <c r="I73" i="9"/>
  <c r="AI19" i="13"/>
  <c r="I45" i="9" s="1"/>
  <c r="P201" i="11"/>
  <c r="E12" i="11"/>
  <c r="P12" i="11" s="1"/>
  <c r="AA4" i="13"/>
  <c r="Z8" i="13"/>
  <c r="AA8" i="13"/>
  <c r="Z10" i="13"/>
  <c r="AA10" i="13"/>
  <c r="Z7" i="13"/>
  <c r="AA7" i="13"/>
  <c r="Z11" i="13"/>
  <c r="AA11" i="13" s="1"/>
  <c r="Z6" i="13"/>
  <c r="AA6" i="13" s="1"/>
  <c r="AA20" i="13" s="1"/>
  <c r="H47" i="9" s="1"/>
  <c r="Z12" i="13"/>
  <c r="AA12" i="13"/>
  <c r="Z5" i="13"/>
  <c r="AA5" i="13"/>
  <c r="Z9" i="13"/>
  <c r="AA9" i="13" s="1"/>
  <c r="P11" i="11"/>
  <c r="P137" i="11"/>
  <c r="Z19" i="13"/>
  <c r="H45" i="9" s="1"/>
  <c r="AI17" i="13"/>
  <c r="I43" i="9" s="1"/>
  <c r="R29" i="13"/>
  <c r="F56" i="9" s="1"/>
  <c r="R56" i="13"/>
  <c r="F83" i="9" s="1"/>
  <c r="AA56" i="13"/>
  <c r="H83" i="9" s="1"/>
  <c r="H366" i="11"/>
  <c r="H265" i="11"/>
  <c r="J356" i="11"/>
  <c r="Z15" i="13"/>
  <c r="H41" i="9" s="1"/>
  <c r="J261" i="11" s="1"/>
  <c r="J251" i="11"/>
  <c r="J352" i="11"/>
  <c r="J32" i="11"/>
  <c r="J208" i="11"/>
  <c r="J174" i="11"/>
  <c r="J238" i="11"/>
  <c r="J126" i="11"/>
  <c r="J190" i="11"/>
  <c r="J78" i="11"/>
  <c r="J176" i="11"/>
  <c r="J30" i="11"/>
  <c r="J64" i="11"/>
  <c r="J94" i="11"/>
  <c r="J48" i="11"/>
  <c r="J160" i="11"/>
  <c r="J144" i="11"/>
  <c r="J145" i="11" s="1"/>
  <c r="J192" i="11"/>
  <c r="J16" i="11"/>
  <c r="J96" i="11"/>
  <c r="J112" i="11"/>
  <c r="J128" i="11"/>
  <c r="J46" i="11"/>
  <c r="J240" i="11"/>
  <c r="J158" i="11"/>
  <c r="J159" i="11" s="1"/>
  <c r="J110" i="11"/>
  <c r="J206" i="11"/>
  <c r="J224" i="11"/>
  <c r="J80" i="11"/>
  <c r="J222" i="11"/>
  <c r="J62" i="11"/>
  <c r="J14" i="11"/>
  <c r="J142" i="11"/>
  <c r="AA61" i="13"/>
  <c r="H88" i="9"/>
  <c r="AA23" i="13"/>
  <c r="H50" i="9"/>
  <c r="H354" i="11"/>
  <c r="H253" i="11"/>
  <c r="Z14" i="13"/>
  <c r="H40" i="9" s="1"/>
  <c r="H254" i="11"/>
  <c r="H355" i="11"/>
  <c r="J355" i="11"/>
  <c r="J254" i="11"/>
  <c r="J36" i="11"/>
  <c r="J116" i="11"/>
  <c r="J82" i="11"/>
  <c r="J130" i="11"/>
  <c r="J178" i="11"/>
  <c r="J52" i="11"/>
  <c r="J20" i="11"/>
  <c r="J210" i="11"/>
  <c r="J68" i="11"/>
  <c r="J148" i="11"/>
  <c r="J242" i="11"/>
  <c r="J164" i="11"/>
  <c r="J226" i="11"/>
  <c r="J114" i="11"/>
  <c r="J132" i="11"/>
  <c r="J98" i="11"/>
  <c r="J162" i="11"/>
  <c r="J212" i="11"/>
  <c r="J18" i="11"/>
  <c r="J146" i="11"/>
  <c r="J244" i="11"/>
  <c r="J196" i="11"/>
  <c r="J180" i="11"/>
  <c r="J181" i="11" s="1"/>
  <c r="J228" i="11"/>
  <c r="J34" i="11"/>
  <c r="J84" i="11"/>
  <c r="J50" i="11"/>
  <c r="J100" i="11"/>
  <c r="J66" i="11"/>
  <c r="J194" i="11"/>
  <c r="AJ61" i="13"/>
  <c r="I88" i="9" s="1"/>
  <c r="F50" i="9"/>
  <c r="AI16" i="13"/>
  <c r="I42" i="9" s="1"/>
  <c r="H357" i="11"/>
  <c r="H256" i="11"/>
  <c r="Z18" i="13"/>
  <c r="H44" i="9" s="1"/>
  <c r="R61" i="13"/>
  <c r="F88" i="9"/>
  <c r="AI18" i="13"/>
  <c r="I44" i="9" s="1"/>
  <c r="H262" i="11"/>
  <c r="H363" i="11"/>
  <c r="G378" i="11"/>
  <c r="AJ23" i="13"/>
  <c r="I50" i="9" s="1"/>
  <c r="G21" i="11"/>
  <c r="F21" i="11"/>
  <c r="F20" i="11"/>
  <c r="J358" i="11"/>
  <c r="J257" i="11"/>
  <c r="H356" i="11"/>
  <c r="H255" i="11"/>
  <c r="G229" i="11"/>
  <c r="F229" i="11" s="1"/>
  <c r="F228" i="11"/>
  <c r="Z13" i="13"/>
  <c r="H39" i="9" s="1"/>
  <c r="J360" i="11" s="1"/>
  <c r="H252" i="11"/>
  <c r="H353" i="11"/>
  <c r="Z16" i="13"/>
  <c r="H42" i="9" s="1"/>
  <c r="Z17" i="13"/>
  <c r="H43" i="9" s="1"/>
  <c r="AJ29" i="13"/>
  <c r="I56" i="9"/>
  <c r="J357" i="11"/>
  <c r="J256" i="11"/>
  <c r="J407" i="11"/>
  <c r="AA29" i="13"/>
  <c r="H56" i="9" s="1"/>
  <c r="AJ56" i="13"/>
  <c r="I83" i="9"/>
  <c r="J378" i="11"/>
  <c r="J277" i="11"/>
  <c r="J371" i="11"/>
  <c r="J270" i="11"/>
  <c r="J163" i="11"/>
  <c r="J101" i="11"/>
  <c r="J99" i="11"/>
  <c r="J131" i="11"/>
  <c r="J15" i="11"/>
  <c r="J97" i="11"/>
  <c r="J127" i="11"/>
  <c r="J63" i="11"/>
  <c r="J239" i="11"/>
  <c r="J85" i="11"/>
  <c r="J115" i="11"/>
  <c r="J117" i="11"/>
  <c r="J223" i="11"/>
  <c r="J193" i="11"/>
  <c r="J175" i="11"/>
  <c r="J35" i="11"/>
  <c r="J227" i="11"/>
  <c r="J37" i="11"/>
  <c r="J81" i="11"/>
  <c r="J209" i="11"/>
  <c r="J17" i="11"/>
  <c r="J229" i="11"/>
  <c r="J165" i="11"/>
  <c r="J225" i="11"/>
  <c r="J161" i="11"/>
  <c r="J33" i="11"/>
  <c r="J207" i="11"/>
  <c r="J49" i="11"/>
  <c r="J83" i="11"/>
  <c r="J197" i="11"/>
  <c r="J149" i="11"/>
  <c r="J111" i="11"/>
  <c r="J95" i="11"/>
  <c r="J51" i="11"/>
  <c r="J245" i="11"/>
  <c r="J69" i="11"/>
  <c r="J65" i="11"/>
  <c r="J147" i="11"/>
  <c r="J211" i="11"/>
  <c r="J241" i="11"/>
  <c r="J31" i="11"/>
  <c r="J133" i="11"/>
  <c r="J243" i="11"/>
  <c r="J19" i="11"/>
  <c r="J21" i="11"/>
  <c r="J47" i="11"/>
  <c r="J177" i="11"/>
  <c r="J195" i="11"/>
  <c r="J213" i="11"/>
  <c r="J53" i="11"/>
  <c r="J129" i="11"/>
  <c r="J79" i="11"/>
  <c r="J67" i="11"/>
  <c r="J179" i="11"/>
  <c r="J143" i="11"/>
  <c r="J113" i="11"/>
  <c r="J191" i="11"/>
  <c r="F319" i="11"/>
  <c r="K81" i="2"/>
  <c r="K426" i="11"/>
  <c r="F35" i="17"/>
  <c r="K322" i="11"/>
  <c r="J58" i="2"/>
  <c r="F43" i="17"/>
  <c r="F27" i="17"/>
  <c r="G18" i="2"/>
  <c r="K315" i="11"/>
  <c r="K337" i="11"/>
  <c r="G19" i="2"/>
  <c r="F69" i="17"/>
  <c r="F39" i="17"/>
  <c r="J21" i="2"/>
  <c r="G38" i="2"/>
  <c r="J338" i="11"/>
  <c r="G28" i="2"/>
  <c r="J319" i="11"/>
  <c r="J337" i="11"/>
  <c r="J62" i="2"/>
  <c r="G102" i="2"/>
  <c r="J72" i="2"/>
  <c r="J68" i="2"/>
  <c r="F74" i="17"/>
  <c r="J443" i="11"/>
  <c r="F29" i="17"/>
  <c r="F15" i="17"/>
  <c r="J66" i="2"/>
  <c r="G13" i="2"/>
  <c r="J435" i="11"/>
  <c r="F36" i="17"/>
  <c r="K422" i="11"/>
  <c r="J346" i="11"/>
  <c r="G33" i="2"/>
  <c r="G57" i="2"/>
  <c r="K342" i="11"/>
  <c r="G83" i="2"/>
  <c r="J44" i="2"/>
  <c r="J420" i="11"/>
  <c r="J56" i="2"/>
  <c r="K433" i="11"/>
  <c r="J442" i="11"/>
  <c r="J34" i="2"/>
  <c r="J57" i="2"/>
  <c r="F61" i="17"/>
  <c r="G30" i="2"/>
  <c r="J440" i="11"/>
  <c r="J426" i="11"/>
  <c r="J329" i="11"/>
  <c r="G88" i="2"/>
  <c r="F71" i="17"/>
  <c r="F67" i="17"/>
  <c r="J421" i="11"/>
  <c r="G85" i="2"/>
  <c r="J28" i="2"/>
  <c r="F32" i="17"/>
  <c r="G109" i="2"/>
  <c r="J422" i="11"/>
  <c r="G96" i="2"/>
  <c r="K427" i="11"/>
  <c r="J70" i="2"/>
  <c r="F46" i="17"/>
  <c r="G41" i="2"/>
  <c r="J427" i="11"/>
  <c r="J33" i="2"/>
  <c r="J320" i="11"/>
  <c r="J23" i="2"/>
  <c r="J430" i="11"/>
  <c r="G50" i="2"/>
  <c r="J19" i="2"/>
  <c r="J342" i="11"/>
  <c r="F55" i="17"/>
  <c r="K419" i="11"/>
  <c r="F52" i="17"/>
  <c r="J330" i="11"/>
  <c r="G35" i="2"/>
  <c r="F49" i="17"/>
  <c r="J18" i="2"/>
  <c r="K447" i="11"/>
  <c r="G14" i="2"/>
  <c r="J425" i="11"/>
  <c r="J54" i="2"/>
  <c r="J78" i="2"/>
  <c r="K420" i="11"/>
  <c r="F60" i="17"/>
  <c r="J69" i="2"/>
  <c r="G24" i="2"/>
  <c r="K336" i="11"/>
  <c r="K444" i="11"/>
  <c r="F59" i="17"/>
  <c r="F72" i="17"/>
  <c r="J71" i="2"/>
  <c r="F54" i="17"/>
  <c r="K316" i="11"/>
  <c r="K443" i="11"/>
  <c r="J25" i="2"/>
  <c r="F16" i="17"/>
  <c r="G16" i="2"/>
  <c r="J417" i="11"/>
  <c r="K423" i="11"/>
  <c r="J29" i="2"/>
  <c r="J321" i="11"/>
  <c r="K437" i="11"/>
  <c r="F47" i="17"/>
  <c r="G37" i="2"/>
  <c r="G51" i="2"/>
  <c r="K428" i="11"/>
  <c r="G25" i="2"/>
  <c r="F20" i="17"/>
  <c r="J326" i="11"/>
  <c r="J55" i="2"/>
  <c r="F53" i="17"/>
  <c r="G63" i="2"/>
  <c r="J31" i="2"/>
  <c r="G93" i="2"/>
  <c r="F62" i="17"/>
  <c r="K345" i="11"/>
  <c r="K418" i="11"/>
  <c r="K317" i="11"/>
  <c r="J43" i="2"/>
  <c r="G69" i="2"/>
  <c r="K424" i="11"/>
  <c r="K432" i="11"/>
  <c r="G45" i="2"/>
  <c r="F38" i="17"/>
  <c r="J13" i="2"/>
  <c r="K323" i="11"/>
  <c r="J315" i="11"/>
  <c r="K445" i="11"/>
  <c r="K448" i="11"/>
  <c r="G61" i="2"/>
  <c r="F50" i="17"/>
  <c r="J41" i="2"/>
  <c r="J37" i="2"/>
  <c r="G68" i="2"/>
  <c r="G26" i="2"/>
  <c r="G39" i="2"/>
  <c r="G98" i="2"/>
  <c r="J327" i="11"/>
  <c r="K417" i="11"/>
  <c r="J324" i="11"/>
  <c r="J444" i="11"/>
  <c r="J17" i="2"/>
  <c r="K341" i="11"/>
  <c r="K320" i="11"/>
  <c r="G15" i="2"/>
  <c r="J418" i="11"/>
  <c r="G70" i="2"/>
  <c r="K339" i="11"/>
  <c r="K331" i="11"/>
  <c r="G59" i="2"/>
  <c r="J322" i="11"/>
  <c r="F56" i="17"/>
  <c r="G36" i="2"/>
  <c r="G87" i="2"/>
  <c r="K436" i="11"/>
  <c r="J424" i="11"/>
  <c r="G27" i="2"/>
  <c r="F26" i="17"/>
  <c r="J59" i="2"/>
  <c r="K429" i="11"/>
  <c r="F18" i="17"/>
  <c r="J439" i="11"/>
  <c r="G64" i="2"/>
  <c r="J73" i="2"/>
  <c r="J50" i="2"/>
  <c r="F24" i="17"/>
  <c r="J14" i="2"/>
  <c r="J27" i="2"/>
  <c r="G72" i="2"/>
  <c r="G108" i="2"/>
  <c r="K326" i="11"/>
  <c r="G71" i="2"/>
  <c r="J40" i="2"/>
  <c r="G17" i="2"/>
  <c r="G89" i="2"/>
  <c r="K327" i="11"/>
  <c r="G90" i="2"/>
  <c r="J448" i="11"/>
  <c r="G22" i="2"/>
  <c r="G104" i="2"/>
  <c r="F31" i="17"/>
  <c r="K330" i="11"/>
  <c r="F75" i="17"/>
  <c r="F42" i="17"/>
  <c r="K434" i="11"/>
  <c r="G21" i="2"/>
  <c r="K328" i="11"/>
  <c r="J74" i="2"/>
  <c r="G80" i="2"/>
  <c r="G42" i="2"/>
  <c r="J449" i="11"/>
  <c r="K435" i="11"/>
  <c r="J341" i="11"/>
  <c r="G106" i="2"/>
  <c r="J53" i="2"/>
  <c r="J423" i="11"/>
  <c r="F57" i="17"/>
  <c r="K431" i="11"/>
  <c r="J51" i="2"/>
  <c r="K324" i="11"/>
  <c r="J434" i="11"/>
  <c r="K449" i="11"/>
  <c r="J61" i="2"/>
  <c r="G49" i="2"/>
  <c r="J416" i="11"/>
  <c r="J80" i="2"/>
  <c r="J335" i="11"/>
  <c r="G114" i="2"/>
  <c r="J344" i="11"/>
  <c r="J438" i="11"/>
  <c r="J332" i="11"/>
  <c r="G54" i="2"/>
  <c r="G110" i="2"/>
  <c r="F48" i="17"/>
  <c r="G56" i="2"/>
  <c r="J441" i="11"/>
  <c r="J347" i="11"/>
  <c r="F76" i="17"/>
  <c r="F17" i="17"/>
  <c r="G111" i="2"/>
  <c r="J35" i="2"/>
  <c r="G66" i="2"/>
  <c r="K343" i="11"/>
  <c r="F33" i="17"/>
  <c r="J65" i="2"/>
  <c r="G55" i="2"/>
  <c r="G78" i="2"/>
  <c r="F63" i="17"/>
  <c r="K340" i="11"/>
  <c r="F34" i="17"/>
  <c r="G40" i="2"/>
  <c r="J429" i="11"/>
  <c r="G65" i="2"/>
  <c r="G29" i="2"/>
  <c r="J36" i="2"/>
  <c r="G105" i="2"/>
  <c r="J428" i="11"/>
  <c r="J325" i="11"/>
  <c r="G20" i="2"/>
  <c r="F65" i="17"/>
  <c r="J348" i="11"/>
  <c r="K425" i="11"/>
  <c r="G86" i="2"/>
  <c r="F40" i="17"/>
  <c r="J343" i="11"/>
  <c r="J76" i="2"/>
  <c r="G52" i="2"/>
  <c r="F58" i="17"/>
  <c r="G32" i="2"/>
  <c r="J39" i="2"/>
  <c r="K333" i="11"/>
  <c r="G100" i="2"/>
  <c r="K438" i="11"/>
  <c r="F73" i="17"/>
  <c r="G44" i="2"/>
  <c r="J339" i="11"/>
  <c r="K332" i="11"/>
  <c r="K430" i="11"/>
  <c r="J437" i="11"/>
  <c r="J331" i="11"/>
  <c r="G73" i="2"/>
  <c r="G107" i="2"/>
  <c r="J436" i="11"/>
  <c r="K446" i="11"/>
  <c r="G99" i="2"/>
  <c r="F19" i="17"/>
  <c r="K321" i="11"/>
  <c r="J67" i="2"/>
  <c r="G31" i="2"/>
  <c r="G43" i="2"/>
  <c r="J60" i="2"/>
  <c r="J316" i="11"/>
  <c r="G95" i="2"/>
  <c r="G58" i="2"/>
  <c r="J328" i="11"/>
  <c r="J32" i="2"/>
  <c r="G92" i="2"/>
  <c r="G91" i="2"/>
  <c r="G34" i="2"/>
  <c r="G84" i="2"/>
  <c r="J49" i="2"/>
  <c r="J317" i="11"/>
  <c r="F13" i="17"/>
  <c r="F64" i="17"/>
  <c r="K416" i="11"/>
  <c r="K329" i="11"/>
  <c r="G74" i="2"/>
  <c r="G79" i="2"/>
  <c r="J318" i="11"/>
  <c r="K338" i="11"/>
  <c r="K318" i="11"/>
  <c r="F37" i="17"/>
  <c r="G101" i="2"/>
  <c r="F23" i="17"/>
  <c r="K347" i="11"/>
  <c r="F22" i="17"/>
  <c r="J38" i="2"/>
  <c r="J48" i="2"/>
  <c r="G113" i="2"/>
  <c r="G77" i="2"/>
  <c r="K346" i="11"/>
  <c r="J433" i="11"/>
  <c r="J419" i="11"/>
  <c r="G97" i="2"/>
  <c r="F30" i="17"/>
  <c r="G23" i="2"/>
  <c r="J63" i="2"/>
  <c r="J447" i="11"/>
  <c r="G67" i="2"/>
  <c r="G76" i="2"/>
  <c r="J26" i="2"/>
  <c r="J52" i="2"/>
  <c r="J75" i="2"/>
  <c r="G94" i="2"/>
  <c r="J432" i="11"/>
  <c r="G60" i="2"/>
  <c r="J77" i="2"/>
  <c r="J445" i="11"/>
  <c r="F45" i="17"/>
  <c r="J30" i="2"/>
  <c r="F21" i="17"/>
  <c r="J45" i="2"/>
  <c r="J22" i="2"/>
  <c r="J446" i="11"/>
  <c r="K442" i="11"/>
  <c r="F41" i="17"/>
  <c r="G103" i="2"/>
  <c r="F68" i="17"/>
  <c r="F14" i="17"/>
  <c r="F66" i="17"/>
  <c r="J79" i="2"/>
  <c r="J323" i="11"/>
  <c r="J15" i="2"/>
  <c r="F28" i="17"/>
  <c r="J336" i="11"/>
  <c r="K348" i="11"/>
  <c r="G53" i="2"/>
  <c r="J340" i="11"/>
  <c r="K439" i="11"/>
  <c r="J42" i="2"/>
  <c r="J24" i="2"/>
  <c r="G75" i="2"/>
  <c r="K319" i="11"/>
  <c r="G62" i="2"/>
  <c r="F70" i="17"/>
  <c r="J16" i="2"/>
  <c r="J345" i="11"/>
  <c r="J20" i="2"/>
  <c r="F25" i="17"/>
  <c r="K325" i="11"/>
  <c r="J431" i="11"/>
  <c r="K344" i="11"/>
  <c r="G48" i="2"/>
  <c r="K440" i="11"/>
  <c r="G115" i="2"/>
  <c r="G112" i="2"/>
  <c r="F51" i="17"/>
  <c r="K335" i="11"/>
  <c r="K441" i="11"/>
  <c r="F12" i="17"/>
  <c r="J333" i="11"/>
  <c r="K421" i="11"/>
  <c r="J64" i="2"/>
  <c r="J334" i="11"/>
  <c r="K334" i="11"/>
  <c r="F334" i="11" l="1"/>
  <c r="F338" i="11"/>
  <c r="F35" i="16"/>
  <c r="F36" i="16" s="1"/>
  <c r="E21" i="16"/>
  <c r="F11" i="17" s="1"/>
  <c r="M68" i="16"/>
  <c r="L21" i="16"/>
  <c r="L40" i="16"/>
  <c r="L58" i="16"/>
  <c r="L38" i="16"/>
  <c r="M76" i="16"/>
  <c r="L65" i="16"/>
  <c r="M66" i="16"/>
  <c r="G79" i="17"/>
  <c r="M18" i="16"/>
  <c r="M80" i="16"/>
  <c r="M22" i="16"/>
  <c r="M74" i="16"/>
  <c r="I99" i="2"/>
  <c r="H11" i="2"/>
  <c r="J370" i="11"/>
  <c r="J269" i="11"/>
  <c r="AA57" i="13"/>
  <c r="H84" i="9" s="1"/>
  <c r="J306" i="11"/>
  <c r="J354" i="11"/>
  <c r="J253" i="11"/>
  <c r="H365" i="11"/>
  <c r="H264" i="11"/>
  <c r="J289" i="11"/>
  <c r="J390" i="11"/>
  <c r="AA40" i="13"/>
  <c r="H67" i="9" s="1"/>
  <c r="H358" i="11"/>
  <c r="K366" i="11"/>
  <c r="AI15" i="13"/>
  <c r="I41" i="9" s="1"/>
  <c r="I31" i="9"/>
  <c r="H82" i="9"/>
  <c r="E119" i="2"/>
  <c r="O119" i="2" s="1"/>
  <c r="I78" i="9"/>
  <c r="G244" i="11"/>
  <c r="G116" i="11"/>
  <c r="G130" i="11"/>
  <c r="G210" i="11"/>
  <c r="H10" i="13"/>
  <c r="I10" i="13" s="1"/>
  <c r="H9" i="13"/>
  <c r="I9" i="13" s="1"/>
  <c r="I21" i="13" s="1"/>
  <c r="E48" i="9" s="1"/>
  <c r="H11" i="13"/>
  <c r="I11" i="13" s="1"/>
  <c r="C13" i="13"/>
  <c r="E19" i="9" s="1"/>
  <c r="I4" i="13"/>
  <c r="G146" i="11"/>
  <c r="H244" i="11"/>
  <c r="H245" i="11" s="1"/>
  <c r="H210" i="11"/>
  <c r="H211" i="11" s="1"/>
  <c r="H52" i="11"/>
  <c r="H53" i="11" s="1"/>
  <c r="H114" i="11"/>
  <c r="H115" i="11" s="1"/>
  <c r="H82" i="11"/>
  <c r="H83" i="11" s="1"/>
  <c r="H116" i="11"/>
  <c r="H117" i="11" s="1"/>
  <c r="H68" i="11"/>
  <c r="H69" i="11" s="1"/>
  <c r="J353" i="11"/>
  <c r="J252" i="11"/>
  <c r="H62" i="9"/>
  <c r="F62" i="9"/>
  <c r="AJ12" i="13"/>
  <c r="AJ20" i="13" s="1"/>
  <c r="I47" i="9" s="1"/>
  <c r="F79" i="9"/>
  <c r="I452" i="11"/>
  <c r="E452" i="11" s="1"/>
  <c r="P452" i="11" s="1"/>
  <c r="C10" i="9"/>
  <c r="K248" i="11"/>
  <c r="I248" i="11" s="1"/>
  <c r="AC25" i="13"/>
  <c r="AJ25" i="13" s="1"/>
  <c r="K25" i="13"/>
  <c r="R25" i="13" s="1"/>
  <c r="T25" i="13"/>
  <c r="AA25" i="13" s="1"/>
  <c r="F57" i="9"/>
  <c r="AC37" i="13"/>
  <c r="AJ37" i="13" s="1"/>
  <c r="K37" i="13"/>
  <c r="R37" i="13" s="1"/>
  <c r="H74" i="9"/>
  <c r="H85" i="9"/>
  <c r="F90" i="9"/>
  <c r="G122" i="11"/>
  <c r="F122" i="11" s="1"/>
  <c r="E122" i="11" s="1"/>
  <c r="P122" i="11" s="1"/>
  <c r="F121" i="11"/>
  <c r="E121" i="11" s="1"/>
  <c r="I39" i="13"/>
  <c r="K39" i="13"/>
  <c r="R39" i="13" s="1"/>
  <c r="AC60" i="13"/>
  <c r="AJ60" i="13" s="1"/>
  <c r="T60" i="13"/>
  <c r="AA60" i="13" s="1"/>
  <c r="K60" i="13"/>
  <c r="R60" i="13" s="1"/>
  <c r="P4" i="13"/>
  <c r="Q5" i="13"/>
  <c r="R5" i="13" s="1"/>
  <c r="G236" i="11"/>
  <c r="F236" i="11" s="1"/>
  <c r="E236" i="11" s="1"/>
  <c r="P236" i="11" s="1"/>
  <c r="I48" i="9"/>
  <c r="H89" i="9"/>
  <c r="F89" i="9"/>
  <c r="I89" i="9"/>
  <c r="H20" i="5"/>
  <c r="AI12" i="13"/>
  <c r="AI13" i="13" s="1"/>
  <c r="I39" i="9" s="1"/>
  <c r="K360" i="11" s="1"/>
  <c r="H309" i="11"/>
  <c r="F309" i="11" s="1"/>
  <c r="T52" i="13"/>
  <c r="T21" i="13"/>
  <c r="G202" i="11"/>
  <c r="F202" i="11" s="1"/>
  <c r="E202" i="11" s="1"/>
  <c r="P202" i="11" s="1"/>
  <c r="G139" i="11"/>
  <c r="G185" i="11"/>
  <c r="G123" i="11"/>
  <c r="G217" i="11"/>
  <c r="G9" i="11"/>
  <c r="J44" i="11"/>
  <c r="I44" i="11" s="1"/>
  <c r="K350" i="11"/>
  <c r="I28" i="9"/>
  <c r="K355" i="11" s="1"/>
  <c r="K249" i="11"/>
  <c r="I329" i="11" s="1"/>
  <c r="AD5" i="13"/>
  <c r="B22" i="13"/>
  <c r="B31" i="13"/>
  <c r="B36" i="13"/>
  <c r="B53" i="13"/>
  <c r="J268" i="11"/>
  <c r="B70" i="9"/>
  <c r="J272" i="11"/>
  <c r="F219" i="11"/>
  <c r="E219" i="11" s="1"/>
  <c r="P219" i="11" s="1"/>
  <c r="J402" i="11"/>
  <c r="I62" i="13"/>
  <c r="K47" i="13"/>
  <c r="I57" i="11"/>
  <c r="H23" i="5"/>
  <c r="G169" i="11"/>
  <c r="T48" i="13"/>
  <c r="K369" i="11"/>
  <c r="G75" i="11"/>
  <c r="B64" i="9"/>
  <c r="B86" i="9"/>
  <c r="J409" i="11"/>
  <c r="J349" i="11"/>
  <c r="G203" i="11"/>
  <c r="G105" i="11"/>
  <c r="G73" i="11"/>
  <c r="G91" i="11"/>
  <c r="K48" i="13"/>
  <c r="F446" i="11"/>
  <c r="F416" i="11"/>
  <c r="I112" i="2"/>
  <c r="I91" i="2"/>
  <c r="B32" i="13"/>
  <c r="B50" i="13"/>
  <c r="B54" i="13"/>
  <c r="B87" i="9"/>
  <c r="J374" i="11"/>
  <c r="J415" i="11"/>
  <c r="G57" i="11"/>
  <c r="I86" i="2"/>
  <c r="AC49" i="13"/>
  <c r="F336" i="11"/>
  <c r="F422" i="11"/>
  <c r="F419" i="11"/>
  <c r="F420" i="11"/>
  <c r="D5" i="13"/>
  <c r="G171" i="11"/>
  <c r="H27" i="11"/>
  <c r="J350" i="11"/>
  <c r="I443" i="11" s="1"/>
  <c r="B24" i="13"/>
  <c r="B28" i="13"/>
  <c r="B42" i="13"/>
  <c r="B64" i="13"/>
  <c r="B66" i="9"/>
  <c r="J283" i="11"/>
  <c r="F107" i="11"/>
  <c r="E107" i="11" s="1"/>
  <c r="P107" i="11" s="1"/>
  <c r="G43" i="11"/>
  <c r="G59" i="11"/>
  <c r="G233" i="11"/>
  <c r="G187" i="11"/>
  <c r="B34" i="13"/>
  <c r="F326" i="11"/>
  <c r="I115" i="2"/>
  <c r="B52" i="9"/>
  <c r="G41" i="11"/>
  <c r="G27" i="11"/>
  <c r="G25" i="11"/>
  <c r="I106" i="2"/>
  <c r="G89" i="11"/>
  <c r="B65" i="13"/>
  <c r="G155" i="11"/>
  <c r="G153" i="11"/>
  <c r="E83" i="17"/>
  <c r="K83" i="17" s="1"/>
  <c r="E77" i="17"/>
  <c r="K77" i="17" s="1"/>
  <c r="F445" i="11"/>
  <c r="F432" i="11"/>
  <c r="F321" i="11"/>
  <c r="I89" i="2"/>
  <c r="F341" i="11"/>
  <c r="F333" i="11"/>
  <c r="F323" i="11"/>
  <c r="F343" i="11"/>
  <c r="E9" i="17"/>
  <c r="K9" i="17" s="1"/>
  <c r="F439" i="11"/>
  <c r="L81" i="16"/>
  <c r="K12" i="2"/>
  <c r="M81" i="16"/>
  <c r="G28" i="16"/>
  <c r="G8" i="17" s="1"/>
  <c r="I104" i="2"/>
  <c r="M65" i="16"/>
  <c r="F21" i="16"/>
  <c r="M58" i="16"/>
  <c r="N31" i="16"/>
  <c r="L22" i="16"/>
  <c r="L66" i="16"/>
  <c r="M40" i="16"/>
  <c r="L55" i="16"/>
  <c r="K361" i="11"/>
  <c r="H82" i="2"/>
  <c r="G78" i="17"/>
  <c r="L74" i="16"/>
  <c r="F84" i="17"/>
  <c r="E84" i="17" s="1"/>
  <c r="K84" i="17" s="1"/>
  <c r="M79" i="16"/>
  <c r="M56" i="16"/>
  <c r="M38" i="16"/>
  <c r="F327" i="11"/>
  <c r="I88" i="2"/>
  <c r="L18" i="16"/>
  <c r="I114" i="2"/>
  <c r="G81" i="17"/>
  <c r="G82" i="17" s="1"/>
  <c r="F340" i="11"/>
  <c r="F22" i="16"/>
  <c r="G21" i="16"/>
  <c r="G11" i="17" s="1"/>
  <c r="F427" i="11"/>
  <c r="F82" i="17"/>
  <c r="K263" i="11"/>
  <c r="F80" i="17"/>
  <c r="E80" i="17" s="1"/>
  <c r="K80" i="17" s="1"/>
  <c r="M49" i="16"/>
  <c r="F447" i="11"/>
  <c r="I96" i="2"/>
  <c r="F79" i="17"/>
  <c r="E79" i="17" s="1"/>
  <c r="K79" i="17" s="1"/>
  <c r="E22" i="16"/>
  <c r="F32" i="16"/>
  <c r="E32" i="16"/>
  <c r="L23" i="16"/>
  <c r="I105" i="2"/>
  <c r="F345" i="11"/>
  <c r="I92" i="2"/>
  <c r="L33" i="16"/>
  <c r="E35" i="16"/>
  <c r="F28" i="16"/>
  <c r="G32" i="16"/>
  <c r="G10" i="17" s="1"/>
  <c r="F78" i="17"/>
  <c r="L53" i="16"/>
  <c r="L51" i="16"/>
  <c r="F443" i="11"/>
  <c r="I107" i="2"/>
  <c r="E28" i="16"/>
  <c r="H47" i="2"/>
  <c r="I100" i="2"/>
  <c r="I109" i="2"/>
  <c r="F423" i="11"/>
  <c r="F342" i="11"/>
  <c r="I84" i="2"/>
  <c r="F425" i="11"/>
  <c r="F329" i="11"/>
  <c r="F328" i="11"/>
  <c r="F431" i="11"/>
  <c r="F437" i="11"/>
  <c r="F418" i="11"/>
  <c r="J362" i="11"/>
  <c r="J363" i="11"/>
  <c r="J262" i="11"/>
  <c r="F442" i="11"/>
  <c r="F339" i="11"/>
  <c r="I94" i="2"/>
  <c r="J81" i="2"/>
  <c r="I81" i="2" s="1"/>
  <c r="F436" i="11"/>
  <c r="F320" i="11"/>
  <c r="K47" i="2"/>
  <c r="I93" i="2"/>
  <c r="I85" i="2"/>
  <c r="F433" i="11"/>
  <c r="F429" i="11"/>
  <c r="F424" i="11"/>
  <c r="I111" i="2"/>
  <c r="F315" i="11"/>
  <c r="K265" i="11"/>
  <c r="F444" i="11"/>
  <c r="F435" i="11"/>
  <c r="I108" i="2"/>
  <c r="I102" i="2"/>
  <c r="I110" i="2"/>
  <c r="F448" i="11"/>
  <c r="F421" i="11"/>
  <c r="F417" i="11"/>
  <c r="I95" i="2"/>
  <c r="F316" i="11"/>
  <c r="I87" i="2"/>
  <c r="I97" i="2"/>
  <c r="F438" i="11"/>
  <c r="F440" i="11"/>
  <c r="F346" i="11"/>
  <c r="F317" i="11"/>
  <c r="I103" i="2"/>
  <c r="F348" i="11"/>
  <c r="F441" i="11"/>
  <c r="I101" i="2"/>
  <c r="F428" i="11"/>
  <c r="F335" i="11"/>
  <c r="J260" i="11"/>
  <c r="J361" i="11"/>
  <c r="J264" i="11"/>
  <c r="J365" i="11"/>
  <c r="F449" i="11"/>
  <c r="F324" i="11"/>
  <c r="F332" i="11"/>
  <c r="I113" i="2"/>
  <c r="F337" i="11"/>
  <c r="F426" i="11"/>
  <c r="I82" i="2"/>
  <c r="I90" i="2"/>
  <c r="I98" i="2"/>
  <c r="J259" i="11"/>
  <c r="F344" i="11"/>
  <c r="F330" i="11"/>
  <c r="F325" i="11"/>
  <c r="F430" i="11"/>
  <c r="F347" i="11"/>
  <c r="F322" i="11"/>
  <c r="F331" i="11"/>
  <c r="F434" i="11"/>
  <c r="F19" i="2"/>
  <c r="F109" i="2"/>
  <c r="F58" i="2"/>
  <c r="G47" i="2"/>
  <c r="G46" i="2"/>
  <c r="F46" i="2" s="1"/>
  <c r="I28" i="2"/>
  <c r="I43" i="2"/>
  <c r="I36" i="2"/>
  <c r="I71" i="2"/>
  <c r="F112" i="2"/>
  <c r="E112" i="2" s="1"/>
  <c r="O112" i="2" s="1"/>
  <c r="E40" i="17"/>
  <c r="K40" i="17" s="1"/>
  <c r="F31" i="2"/>
  <c r="E75" i="17"/>
  <c r="K75" i="17" s="1"/>
  <c r="F93" i="2"/>
  <c r="I31" i="2"/>
  <c r="E54" i="17"/>
  <c r="K54" i="17" s="1"/>
  <c r="E74" i="17"/>
  <c r="K74" i="17" s="1"/>
  <c r="I75" i="2"/>
  <c r="I321" i="11"/>
  <c r="I23" i="2"/>
  <c r="E39" i="17"/>
  <c r="K39" i="17" s="1"/>
  <c r="I20" i="2"/>
  <c r="E48" i="17"/>
  <c r="K48" i="17" s="1"/>
  <c r="I444" i="11"/>
  <c r="I30" i="2"/>
  <c r="F53" i="2"/>
  <c r="I29" i="2"/>
  <c r="F55" i="2"/>
  <c r="F27" i="2"/>
  <c r="F41" i="2"/>
  <c r="F85" i="2"/>
  <c r="F72" i="2"/>
  <c r="I32" i="2"/>
  <c r="E20" i="17"/>
  <c r="K20" i="17" s="1"/>
  <c r="F88" i="2"/>
  <c r="F51" i="2"/>
  <c r="F23" i="2"/>
  <c r="F38" i="2"/>
  <c r="F95" i="2"/>
  <c r="F52" i="2"/>
  <c r="E53" i="17"/>
  <c r="K53" i="17" s="1"/>
  <c r="F18" i="2"/>
  <c r="F79" i="2"/>
  <c r="E16" i="17"/>
  <c r="K16" i="17" s="1"/>
  <c r="F42" i="2"/>
  <c r="F26" i="2"/>
  <c r="E56" i="17"/>
  <c r="K56" i="17" s="1"/>
  <c r="I19" i="2"/>
  <c r="E67" i="17"/>
  <c r="K67" i="17" s="1"/>
  <c r="I42" i="2"/>
  <c r="F86" i="2"/>
  <c r="E61" i="17"/>
  <c r="K61" i="17" s="1"/>
  <c r="I44" i="2"/>
  <c r="I338" i="11"/>
  <c r="F45" i="2"/>
  <c r="I337" i="11"/>
  <c r="I41" i="2"/>
  <c r="I51" i="2"/>
  <c r="E45" i="17"/>
  <c r="K45" i="17" s="1"/>
  <c r="F78" i="2"/>
  <c r="I61" i="2"/>
  <c r="I70" i="2"/>
  <c r="F90" i="2"/>
  <c r="F108" i="2"/>
  <c r="E13" i="17"/>
  <c r="K13" i="17" s="1"/>
  <c r="G12" i="2"/>
  <c r="F12" i="2" s="1"/>
  <c r="G11" i="2"/>
  <c r="F11" i="2" s="1"/>
  <c r="I34" i="2"/>
  <c r="F57" i="2"/>
  <c r="F103" i="2"/>
  <c r="F110" i="2"/>
  <c r="E43" i="17"/>
  <c r="K43" i="17" s="1"/>
  <c r="E55" i="17"/>
  <c r="K55" i="17" s="1"/>
  <c r="I21" i="2"/>
  <c r="E29" i="17"/>
  <c r="K29" i="17" s="1"/>
  <c r="E76" i="17"/>
  <c r="K76" i="17" s="1"/>
  <c r="F87" i="2"/>
  <c r="E12" i="17"/>
  <c r="K12" i="17" s="1"/>
  <c r="I78" i="2"/>
  <c r="I339" i="11"/>
  <c r="I447" i="11"/>
  <c r="E447" i="11" s="1"/>
  <c r="P447" i="11" s="1"/>
  <c r="I58" i="2"/>
  <c r="I38" i="2"/>
  <c r="F34" i="2"/>
  <c r="I316" i="11"/>
  <c r="F99" i="2"/>
  <c r="E28" i="17"/>
  <c r="K28" i="17" s="1"/>
  <c r="I45" i="2"/>
  <c r="F96" i="2"/>
  <c r="E25" i="17"/>
  <c r="K25" i="17" s="1"/>
  <c r="I322" i="11"/>
  <c r="E46" i="17"/>
  <c r="K46" i="17" s="1"/>
  <c r="I50" i="2"/>
  <c r="I66" i="2"/>
  <c r="I62" i="2"/>
  <c r="I328" i="11"/>
  <c r="I25" i="2"/>
  <c r="F63" i="2"/>
  <c r="F102" i="2"/>
  <c r="F61" i="2"/>
  <c r="I65" i="2"/>
  <c r="I37" i="2"/>
  <c r="E35" i="17"/>
  <c r="K35" i="17" s="1"/>
  <c r="F115" i="2"/>
  <c r="E115" i="2" s="1"/>
  <c r="O115" i="2" s="1"/>
  <c r="F20" i="2"/>
  <c r="I320" i="11"/>
  <c r="I14" i="2"/>
  <c r="F94" i="2"/>
  <c r="I69" i="2"/>
  <c r="I336" i="11"/>
  <c r="E336" i="11" s="1"/>
  <c r="P336" i="11" s="1"/>
  <c r="E60" i="17"/>
  <c r="K60" i="17" s="1"/>
  <c r="E23" i="17"/>
  <c r="K23" i="17" s="1"/>
  <c r="F67" i="2"/>
  <c r="E71" i="17"/>
  <c r="K71" i="17" s="1"/>
  <c r="F73" i="2"/>
  <c r="I53" i="2"/>
  <c r="I72" i="2"/>
  <c r="F111" i="2"/>
  <c r="E51" i="17"/>
  <c r="K51" i="17" s="1"/>
  <c r="I68" i="2"/>
  <c r="F107" i="2"/>
  <c r="I345" i="11"/>
  <c r="E345" i="11" s="1"/>
  <c r="P345" i="11" s="1"/>
  <c r="E24" i="17"/>
  <c r="K24" i="17" s="1"/>
  <c r="I35" i="2"/>
  <c r="F49" i="2"/>
  <c r="F17" i="2"/>
  <c r="I56" i="2"/>
  <c r="I347" i="11"/>
  <c r="I73" i="2"/>
  <c r="E42" i="17"/>
  <c r="K42" i="17" s="1"/>
  <c r="F77" i="2"/>
  <c r="E17" i="17"/>
  <c r="K17" i="17" s="1"/>
  <c r="I57" i="2"/>
  <c r="F71" i="2"/>
  <c r="F16" i="2"/>
  <c r="F84" i="2"/>
  <c r="I80" i="2"/>
  <c r="I315" i="11"/>
  <c r="E315" i="11" s="1"/>
  <c r="P315" i="11" s="1"/>
  <c r="F22" i="2"/>
  <c r="F32" i="2"/>
  <c r="E19" i="17"/>
  <c r="K19" i="17" s="1"/>
  <c r="I344" i="11"/>
  <c r="F14" i="2"/>
  <c r="F98" i="2"/>
  <c r="I343" i="11"/>
  <c r="I17" i="2"/>
  <c r="I40" i="2"/>
  <c r="F44" i="2"/>
  <c r="E14" i="17"/>
  <c r="K14" i="17" s="1"/>
  <c r="F21" i="2"/>
  <c r="I33" i="2"/>
  <c r="E64" i="17"/>
  <c r="K64" i="17" s="1"/>
  <c r="F92" i="2"/>
  <c r="I318" i="11"/>
  <c r="I324" i="11"/>
  <c r="I59" i="2"/>
  <c r="I63" i="2"/>
  <c r="F104" i="2"/>
  <c r="F40" i="2"/>
  <c r="I341" i="11"/>
  <c r="E341" i="11" s="1"/>
  <c r="P341" i="11" s="1"/>
  <c r="E66" i="17"/>
  <c r="K66" i="17" s="1"/>
  <c r="E73" i="17"/>
  <c r="K73" i="17" s="1"/>
  <c r="E36" i="17"/>
  <c r="K36" i="17" s="1"/>
  <c r="I27" i="2"/>
  <c r="I323" i="11"/>
  <c r="F54" i="2"/>
  <c r="E15" i="17"/>
  <c r="K15" i="17" s="1"/>
  <c r="I428" i="11"/>
  <c r="E62" i="17"/>
  <c r="K62" i="17" s="1"/>
  <c r="I327" i="11"/>
  <c r="I74" i="2"/>
  <c r="F97" i="2"/>
  <c r="E34" i="17"/>
  <c r="K34" i="17" s="1"/>
  <c r="I22" i="2"/>
  <c r="F43" i="2"/>
  <c r="E43" i="2" s="1"/>
  <c r="O43" i="2" s="1"/>
  <c r="I438" i="11"/>
  <c r="F15" i="2"/>
  <c r="E33" i="17"/>
  <c r="K33" i="17" s="1"/>
  <c r="I332" i="11"/>
  <c r="F33" i="2"/>
  <c r="F80" i="2"/>
  <c r="F56" i="2"/>
  <c r="E52" i="17"/>
  <c r="K52" i="17" s="1"/>
  <c r="F50" i="2"/>
  <c r="I436" i="11"/>
  <c r="E436" i="11" s="1"/>
  <c r="P436" i="11" s="1"/>
  <c r="F24" i="2"/>
  <c r="F35" i="2"/>
  <c r="F62" i="2"/>
  <c r="E70" i="17"/>
  <c r="K70" i="17" s="1"/>
  <c r="I335" i="11"/>
  <c r="I54" i="2"/>
  <c r="I15" i="2"/>
  <c r="I49" i="2"/>
  <c r="E21" i="17"/>
  <c r="K21" i="17" s="1"/>
  <c r="I55" i="2"/>
  <c r="F75" i="2"/>
  <c r="F76" i="2"/>
  <c r="I340" i="11"/>
  <c r="E340" i="11" s="1"/>
  <c r="P340" i="11" s="1"/>
  <c r="I346" i="11"/>
  <c r="E346" i="11" s="1"/>
  <c r="P346" i="11" s="1"/>
  <c r="F60" i="2"/>
  <c r="E63" i="17"/>
  <c r="K63" i="17" s="1"/>
  <c r="I52" i="2"/>
  <c r="F25" i="2"/>
  <c r="I319" i="11"/>
  <c r="E319" i="11" s="1"/>
  <c r="P319" i="11" s="1"/>
  <c r="F113" i="2"/>
  <c r="F100" i="2"/>
  <c r="I18" i="2"/>
  <c r="I26" i="2"/>
  <c r="E57" i="17"/>
  <c r="K57" i="17" s="1"/>
  <c r="F65" i="2"/>
  <c r="I330" i="11"/>
  <c r="I76" i="2"/>
  <c r="F28" i="2"/>
  <c r="F91" i="2"/>
  <c r="E58" i="17"/>
  <c r="K58" i="17" s="1"/>
  <c r="I446" i="11"/>
  <c r="E38" i="17"/>
  <c r="K38" i="17" s="1"/>
  <c r="F69" i="2"/>
  <c r="I16" i="2"/>
  <c r="E26" i="17"/>
  <c r="K26" i="17" s="1"/>
  <c r="I79" i="2"/>
  <c r="E69" i="17"/>
  <c r="K69" i="17" s="1"/>
  <c r="E49" i="17"/>
  <c r="K49" i="17" s="1"/>
  <c r="E59" i="17"/>
  <c r="K59" i="17" s="1"/>
  <c r="F106" i="2"/>
  <c r="F36" i="2"/>
  <c r="F66" i="2"/>
  <c r="F37" i="2"/>
  <c r="E32" i="17"/>
  <c r="K32" i="17" s="1"/>
  <c r="I60" i="2"/>
  <c r="G82" i="2"/>
  <c r="F82" i="2" s="1"/>
  <c r="E82" i="2" s="1"/>
  <c r="O82" i="2" s="1"/>
  <c r="G81" i="2"/>
  <c r="F81" i="2" s="1"/>
  <c r="F70" i="2"/>
  <c r="F68" i="2"/>
  <c r="E65" i="17"/>
  <c r="K65" i="17" s="1"/>
  <c r="I24" i="2"/>
  <c r="I342" i="11"/>
  <c r="E342" i="11" s="1"/>
  <c r="P342" i="11" s="1"/>
  <c r="E50" i="17"/>
  <c r="K50" i="17" s="1"/>
  <c r="E30" i="17"/>
  <c r="K30" i="17" s="1"/>
  <c r="E27" i="17"/>
  <c r="K27" i="17" s="1"/>
  <c r="I333" i="11"/>
  <c r="E333" i="11" s="1"/>
  <c r="P333" i="11" s="1"/>
  <c r="E37" i="17"/>
  <c r="K37" i="17" s="1"/>
  <c r="I39" i="2"/>
  <c r="F64" i="2"/>
  <c r="I317" i="11"/>
  <c r="J11" i="2"/>
  <c r="I11" i="2" s="1"/>
  <c r="J12" i="2"/>
  <c r="I12" i="2" s="1"/>
  <c r="F114" i="2"/>
  <c r="F39" i="2"/>
  <c r="E47" i="17"/>
  <c r="K47" i="17" s="1"/>
  <c r="E18" i="17"/>
  <c r="K18" i="17" s="1"/>
  <c r="F30" i="2"/>
  <c r="E68" i="17"/>
  <c r="K68" i="17" s="1"/>
  <c r="E72" i="17"/>
  <c r="K72" i="17" s="1"/>
  <c r="I348" i="11"/>
  <c r="I331" i="11"/>
  <c r="I432" i="11"/>
  <c r="E22" i="17"/>
  <c r="K22" i="17" s="1"/>
  <c r="I325" i="11"/>
  <c r="E325" i="11" s="1"/>
  <c r="P325" i="11" s="1"/>
  <c r="E41" i="17"/>
  <c r="K41" i="17" s="1"/>
  <c r="I334" i="11"/>
  <c r="I77" i="2"/>
  <c r="I326" i="11"/>
  <c r="E326" i="11" s="1"/>
  <c r="P326" i="11" s="1"/>
  <c r="F59" i="2"/>
  <c r="F101" i="2"/>
  <c r="F29" i="2"/>
  <c r="I67" i="2"/>
  <c r="F89" i="2"/>
  <c r="I64" i="2"/>
  <c r="F74" i="2"/>
  <c r="E31" i="17"/>
  <c r="K31" i="17" s="1"/>
  <c r="J47" i="2"/>
  <c r="J46" i="2"/>
  <c r="I46" i="2" s="1"/>
  <c r="F105" i="2"/>
  <c r="E105" i="2" s="1"/>
  <c r="O105" i="2" s="1"/>
  <c r="K262" i="11"/>
  <c r="K363" i="11"/>
  <c r="F318" i="11"/>
  <c r="J263" i="11"/>
  <c r="J364" i="11"/>
  <c r="J366" i="11"/>
  <c r="J265" i="11"/>
  <c r="E348" i="11" l="1"/>
  <c r="E343" i="11"/>
  <c r="P343" i="11" s="1"/>
  <c r="E337" i="11"/>
  <c r="P337" i="11" s="1"/>
  <c r="E82" i="17"/>
  <c r="K82" i="17" s="1"/>
  <c r="E91" i="2"/>
  <c r="O91" i="2" s="1"/>
  <c r="E335" i="11"/>
  <c r="P335" i="11" s="1"/>
  <c r="E99" i="2"/>
  <c r="O99" i="2" s="1"/>
  <c r="E338" i="11"/>
  <c r="P338" i="11" s="1"/>
  <c r="E334" i="11"/>
  <c r="P334" i="11" s="1"/>
  <c r="E86" i="2"/>
  <c r="O86" i="2" s="1"/>
  <c r="E109" i="2"/>
  <c r="O109" i="2" s="1"/>
  <c r="E110" i="2"/>
  <c r="O110" i="2" s="1"/>
  <c r="E81" i="2"/>
  <c r="O81" i="2" s="1"/>
  <c r="E446" i="11"/>
  <c r="P446" i="11" s="1"/>
  <c r="E438" i="11"/>
  <c r="P438" i="11" s="1"/>
  <c r="E428" i="11"/>
  <c r="P428" i="11" s="1"/>
  <c r="E347" i="11"/>
  <c r="E111" i="2"/>
  <c r="O111" i="2" s="1"/>
  <c r="E89" i="2"/>
  <c r="O89" i="2" s="1"/>
  <c r="E30" i="2"/>
  <c r="O30" i="2" s="1"/>
  <c r="E75" i="2"/>
  <c r="O75" i="2" s="1"/>
  <c r="E92" i="2"/>
  <c r="O92" i="2" s="1"/>
  <c r="E96" i="2"/>
  <c r="O96" i="2" s="1"/>
  <c r="E90" i="2"/>
  <c r="O90" i="2" s="1"/>
  <c r="E95" i="2"/>
  <c r="O95" i="2" s="1"/>
  <c r="E32" i="2"/>
  <c r="O32" i="2" s="1"/>
  <c r="E97" i="2"/>
  <c r="O97" i="2" s="1"/>
  <c r="E94" i="2"/>
  <c r="O94" i="2" s="1"/>
  <c r="E100" i="2"/>
  <c r="O100" i="2" s="1"/>
  <c r="E36" i="2"/>
  <c r="O36" i="2" s="1"/>
  <c r="E101" i="2"/>
  <c r="O101" i="2" s="1"/>
  <c r="E14" i="2"/>
  <c r="O14" i="2" s="1"/>
  <c r="E98" i="2"/>
  <c r="O98" i="2" s="1"/>
  <c r="E316" i="11"/>
  <c r="P316" i="11" s="1"/>
  <c r="E444" i="11"/>
  <c r="P444" i="11" s="1"/>
  <c r="E331" i="11"/>
  <c r="P331" i="11" s="1"/>
  <c r="K259" i="11"/>
  <c r="I259" i="11" s="1"/>
  <c r="E37" i="2"/>
  <c r="O37" i="2" s="1"/>
  <c r="F47" i="2"/>
  <c r="E443" i="11"/>
  <c r="P443" i="11" s="1"/>
  <c r="E329" i="11"/>
  <c r="P329" i="11" s="1"/>
  <c r="E102" i="2"/>
  <c r="O102" i="2" s="1"/>
  <c r="E88" i="2"/>
  <c r="O88" i="2" s="1"/>
  <c r="E321" i="11"/>
  <c r="P321" i="11" s="1"/>
  <c r="I263" i="11"/>
  <c r="E68" i="2"/>
  <c r="O68" i="2" s="1"/>
  <c r="E432" i="11"/>
  <c r="P432" i="11" s="1"/>
  <c r="E106" i="2"/>
  <c r="O106" i="2" s="1"/>
  <c r="E20" i="2"/>
  <c r="O20" i="2" s="1"/>
  <c r="F27" i="11"/>
  <c r="E27" i="11" s="1"/>
  <c r="P27" i="11" s="1"/>
  <c r="G28" i="11"/>
  <c r="G36" i="11"/>
  <c r="G32" i="11"/>
  <c r="I24" i="13"/>
  <c r="AC24" i="13"/>
  <c r="K24" i="13"/>
  <c r="T24" i="13"/>
  <c r="K22" i="13"/>
  <c r="T22" i="13"/>
  <c r="AC22" i="13"/>
  <c r="E51" i="9"/>
  <c r="E79" i="9"/>
  <c r="E85" i="9"/>
  <c r="E76" i="9"/>
  <c r="E89" i="9"/>
  <c r="E73" i="9"/>
  <c r="E56" i="9"/>
  <c r="E74" i="9"/>
  <c r="E54" i="9"/>
  <c r="E59" i="9"/>
  <c r="E57" i="9"/>
  <c r="E75" i="9"/>
  <c r="E68" i="9"/>
  <c r="E62" i="9"/>
  <c r="E83" i="9"/>
  <c r="E78" i="9"/>
  <c r="E82" i="9"/>
  <c r="E72" i="9"/>
  <c r="E65" i="9"/>
  <c r="E71" i="9"/>
  <c r="E88" i="9"/>
  <c r="I22" i="13"/>
  <c r="E49" i="9" s="1"/>
  <c r="E50" i="9"/>
  <c r="E90" i="9"/>
  <c r="E53" i="9"/>
  <c r="E60" i="9"/>
  <c r="E55" i="9"/>
  <c r="AJ49" i="13"/>
  <c r="I76" i="9" s="1"/>
  <c r="AD13" i="13"/>
  <c r="I19" i="9" s="1"/>
  <c r="AD14" i="13"/>
  <c r="I20" i="9" s="1"/>
  <c r="I363" i="11"/>
  <c r="E69" i="2"/>
  <c r="O69" i="2" s="1"/>
  <c r="E332" i="11"/>
  <c r="P332" i="11" s="1"/>
  <c r="E44" i="2"/>
  <c r="O44" i="2" s="1"/>
  <c r="E71" i="2"/>
  <c r="O71" i="2" s="1"/>
  <c r="I440" i="11"/>
  <c r="E440" i="11" s="1"/>
  <c r="P440" i="11" s="1"/>
  <c r="I262" i="11"/>
  <c r="I47" i="2"/>
  <c r="I429" i="11"/>
  <c r="E429" i="11" s="1"/>
  <c r="P429" i="11" s="1"/>
  <c r="E317" i="11"/>
  <c r="P317" i="11" s="1"/>
  <c r="I442" i="11"/>
  <c r="E442" i="11" s="1"/>
  <c r="P442" i="11" s="1"/>
  <c r="E327" i="11"/>
  <c r="P327" i="11" s="1"/>
  <c r="E324" i="11"/>
  <c r="P324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T54" i="13"/>
  <c r="AC54" i="13"/>
  <c r="K54" i="13"/>
  <c r="I54" i="13"/>
  <c r="G92" i="11"/>
  <c r="F92" i="11" s="1"/>
  <c r="E92" i="11" s="1"/>
  <c r="P92" i="11" s="1"/>
  <c r="F91" i="11"/>
  <c r="E91" i="11" s="1"/>
  <c r="P91" i="11" s="1"/>
  <c r="G100" i="11"/>
  <c r="G96" i="11"/>
  <c r="G76" i="11"/>
  <c r="F76" i="11" s="1"/>
  <c r="E76" i="11" s="1"/>
  <c r="P76" i="11" s="1"/>
  <c r="F75" i="11"/>
  <c r="E75" i="11" s="1"/>
  <c r="P75" i="11" s="1"/>
  <c r="G84" i="11"/>
  <c r="G80" i="11"/>
  <c r="AC31" i="13"/>
  <c r="T31" i="13"/>
  <c r="K31" i="13"/>
  <c r="I31" i="13"/>
  <c r="E58" i="9" s="1"/>
  <c r="G218" i="11"/>
  <c r="F218" i="11" s="1"/>
  <c r="E218" i="11" s="1"/>
  <c r="P218" i="11" s="1"/>
  <c r="F217" i="11"/>
  <c r="E217" i="11" s="1"/>
  <c r="G226" i="11"/>
  <c r="G222" i="11"/>
  <c r="G224" i="11"/>
  <c r="G206" i="11"/>
  <c r="G112" i="11"/>
  <c r="G142" i="11"/>
  <c r="G240" i="11"/>
  <c r="G16" i="11"/>
  <c r="G126" i="11"/>
  <c r="E81" i="9"/>
  <c r="I57" i="13"/>
  <c r="E84" i="9" s="1"/>
  <c r="G407" i="11"/>
  <c r="G306" i="11"/>
  <c r="I350" i="11"/>
  <c r="E350" i="11" s="1"/>
  <c r="P350" i="11" s="1"/>
  <c r="I409" i="11"/>
  <c r="E409" i="11" s="1"/>
  <c r="P409" i="11" s="1"/>
  <c r="I401" i="11"/>
  <c r="E401" i="11" s="1"/>
  <c r="P401" i="11" s="1"/>
  <c r="J368" i="11"/>
  <c r="I386" i="11"/>
  <c r="E386" i="11" s="1"/>
  <c r="P386" i="11" s="1"/>
  <c r="I384" i="11"/>
  <c r="E384" i="11" s="1"/>
  <c r="P384" i="11" s="1"/>
  <c r="I369" i="11"/>
  <c r="E369" i="11" s="1"/>
  <c r="P369" i="11" s="1"/>
  <c r="I398" i="11"/>
  <c r="E398" i="11" s="1"/>
  <c r="P398" i="11" s="1"/>
  <c r="I375" i="11"/>
  <c r="E375" i="11" s="1"/>
  <c r="P375" i="11" s="1"/>
  <c r="I414" i="11"/>
  <c r="E414" i="11" s="1"/>
  <c r="P414" i="11" s="1"/>
  <c r="I380" i="11"/>
  <c r="E380" i="11" s="1"/>
  <c r="P380" i="11" s="1"/>
  <c r="I402" i="11"/>
  <c r="E402" i="11" s="1"/>
  <c r="P402" i="11" s="1"/>
  <c r="I353" i="11"/>
  <c r="I357" i="11"/>
  <c r="I355" i="11"/>
  <c r="I356" i="11"/>
  <c r="I32" i="13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M13" i="13"/>
  <c r="F31" i="9" s="1"/>
  <c r="I427" i="11"/>
  <c r="E427" i="11" s="1"/>
  <c r="P427" i="11" s="1"/>
  <c r="I421" i="11"/>
  <c r="E421" i="11" s="1"/>
  <c r="P421" i="11" s="1"/>
  <c r="I430" i="11"/>
  <c r="I433" i="11"/>
  <c r="E433" i="11" s="1"/>
  <c r="P433" i="11" s="1"/>
  <c r="G154" i="11"/>
  <c r="F154" i="11" s="1"/>
  <c r="E154" i="11" s="1"/>
  <c r="P154" i="11" s="1"/>
  <c r="F153" i="11"/>
  <c r="E153" i="11" s="1"/>
  <c r="G162" i="11"/>
  <c r="G158" i="11"/>
  <c r="H52" i="9"/>
  <c r="F52" i="9"/>
  <c r="I52" i="9"/>
  <c r="E52" i="9"/>
  <c r="H28" i="11"/>
  <c r="H248" i="11"/>
  <c r="H36" i="11"/>
  <c r="H37" i="11" s="1"/>
  <c r="H32" i="11"/>
  <c r="H33" i="11" s="1"/>
  <c r="F203" i="11"/>
  <c r="E203" i="11" s="1"/>
  <c r="G204" i="11"/>
  <c r="F204" i="11" s="1"/>
  <c r="E204" i="11" s="1"/>
  <c r="P204" i="11" s="1"/>
  <c r="G212" i="11"/>
  <c r="G208" i="11"/>
  <c r="G170" i="11"/>
  <c r="F170" i="11" s="1"/>
  <c r="E170" i="11" s="1"/>
  <c r="P170" i="11" s="1"/>
  <c r="F169" i="11"/>
  <c r="E169" i="11" s="1"/>
  <c r="G178" i="11"/>
  <c r="G174" i="11"/>
  <c r="I249" i="11"/>
  <c r="E249" i="11" s="1"/>
  <c r="P249" i="11" s="1"/>
  <c r="K267" i="11"/>
  <c r="K258" i="11"/>
  <c r="K266" i="11" s="1"/>
  <c r="I266" i="11" s="1"/>
  <c r="E266" i="11" s="1"/>
  <c r="P266" i="11" s="1"/>
  <c r="I256" i="11"/>
  <c r="I251" i="11"/>
  <c r="G140" i="11"/>
  <c r="F140" i="11" s="1"/>
  <c r="E140" i="11" s="1"/>
  <c r="P140" i="11" s="1"/>
  <c r="F139" i="11"/>
  <c r="E139" i="11" s="1"/>
  <c r="G148" i="11"/>
  <c r="G144" i="11"/>
  <c r="Q4" i="13"/>
  <c r="R4" i="13" s="1"/>
  <c r="P121" i="11"/>
  <c r="J250" i="11"/>
  <c r="I40" i="13"/>
  <c r="E67" i="9" s="1"/>
  <c r="G390" i="11"/>
  <c r="G289" i="11"/>
  <c r="E11" i="17"/>
  <c r="K11" i="17" s="1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K285" i="11"/>
  <c r="K271" i="11"/>
  <c r="K384" i="11"/>
  <c r="K305" i="11"/>
  <c r="K310" i="11"/>
  <c r="K374" i="11"/>
  <c r="I374" i="11" s="1"/>
  <c r="E374" i="11" s="1"/>
  <c r="P374" i="11" s="1"/>
  <c r="K398" i="11"/>
  <c r="K402" i="11"/>
  <c r="K390" i="11"/>
  <c r="I390" i="11" s="1"/>
  <c r="K282" i="11"/>
  <c r="K303" i="11"/>
  <c r="K298" i="11"/>
  <c r="K380" i="11"/>
  <c r="K415" i="11"/>
  <c r="I415" i="11" s="1"/>
  <c r="E415" i="11" s="1"/>
  <c r="P415" i="11" s="1"/>
  <c r="K414" i="1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I397" i="11" s="1"/>
  <c r="E397" i="11" s="1"/>
  <c r="P397" i="11" s="1"/>
  <c r="K295" i="11"/>
  <c r="K406" i="11"/>
  <c r="I406" i="11" s="1"/>
  <c r="E406" i="11" s="1"/>
  <c r="P406" i="11" s="1"/>
  <c r="K375" i="11"/>
  <c r="K412" i="11"/>
  <c r="I412" i="11" s="1"/>
  <c r="E412" i="11" s="1"/>
  <c r="P412" i="11" s="1"/>
  <c r="K372" i="11"/>
  <c r="I372" i="11" s="1"/>
  <c r="E372" i="11" s="1"/>
  <c r="P372" i="11" s="1"/>
  <c r="K379" i="11"/>
  <c r="I379" i="11" s="1"/>
  <c r="E379" i="11" s="1"/>
  <c r="P379" i="11" s="1"/>
  <c r="K281" i="11"/>
  <c r="K275" i="11"/>
  <c r="K314" i="11"/>
  <c r="K373" i="11"/>
  <c r="I373" i="11" s="1"/>
  <c r="E373" i="11" s="1"/>
  <c r="P373" i="11" s="1"/>
  <c r="K404" i="11"/>
  <c r="I404" i="11" s="1"/>
  <c r="E404" i="11" s="1"/>
  <c r="P404" i="11" s="1"/>
  <c r="K389" i="11"/>
  <c r="I389" i="11" s="1"/>
  <c r="E389" i="11" s="1"/>
  <c r="P389" i="11" s="1"/>
  <c r="K309" i="11"/>
  <c r="K288" i="11"/>
  <c r="K388" i="11"/>
  <c r="I388" i="11" s="1"/>
  <c r="E388" i="11" s="1"/>
  <c r="P388" i="11" s="1"/>
  <c r="K386" i="11"/>
  <c r="K387" i="11"/>
  <c r="I387" i="11" s="1"/>
  <c r="E387" i="11" s="1"/>
  <c r="P387" i="11" s="1"/>
  <c r="K292" i="11"/>
  <c r="K391" i="11"/>
  <c r="I391" i="11" s="1"/>
  <c r="E391" i="11" s="1"/>
  <c r="P391" i="11" s="1"/>
  <c r="K382" i="11"/>
  <c r="I382" i="11" s="1"/>
  <c r="E382" i="11" s="1"/>
  <c r="P382" i="11" s="1"/>
  <c r="K297" i="11"/>
  <c r="K294" i="11"/>
  <c r="K411" i="11"/>
  <c r="I411" i="11" s="1"/>
  <c r="E411" i="11" s="1"/>
  <c r="P411" i="11" s="1"/>
  <c r="K304" i="11"/>
  <c r="K299" i="11"/>
  <c r="K307" i="11"/>
  <c r="K269" i="11"/>
  <c r="K276" i="11"/>
  <c r="K405" i="11"/>
  <c r="I405" i="11" s="1"/>
  <c r="E405" i="11" s="1"/>
  <c r="P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E385" i="11" s="1"/>
  <c r="P385" i="11" s="1"/>
  <c r="K371" i="11"/>
  <c r="I371" i="11" s="1"/>
  <c r="K370" i="11"/>
  <c r="I370" i="11" s="1"/>
  <c r="K413" i="11"/>
  <c r="I413" i="11" s="1"/>
  <c r="E413" i="11" s="1"/>
  <c r="P413" i="11" s="1"/>
  <c r="K311" i="11"/>
  <c r="K302" i="11"/>
  <c r="K399" i="11"/>
  <c r="I399" i="11" s="1"/>
  <c r="E399" i="11" s="1"/>
  <c r="P399" i="11" s="1"/>
  <c r="K396" i="11"/>
  <c r="I396" i="11" s="1"/>
  <c r="E396" i="11" s="1"/>
  <c r="P396" i="11" s="1"/>
  <c r="K300" i="11"/>
  <c r="K408" i="11"/>
  <c r="I408" i="11" s="1"/>
  <c r="E408" i="11" s="1"/>
  <c r="P408" i="11" s="1"/>
  <c r="K274" i="11"/>
  <c r="K410" i="11"/>
  <c r="I410" i="11" s="1"/>
  <c r="E410" i="11" s="1"/>
  <c r="P410" i="11" s="1"/>
  <c r="K393" i="11"/>
  <c r="I393" i="11" s="1"/>
  <c r="E393" i="11" s="1"/>
  <c r="P393" i="11" s="1"/>
  <c r="K312" i="11"/>
  <c r="K306" i="11"/>
  <c r="I306" i="11" s="1"/>
  <c r="K349" i="11"/>
  <c r="I349" i="11" s="1"/>
  <c r="E349" i="11" s="1"/>
  <c r="P349" i="11" s="1"/>
  <c r="K270" i="11"/>
  <c r="K308" i="11"/>
  <c r="K301" i="11"/>
  <c r="K313" i="11"/>
  <c r="K376" i="11"/>
  <c r="I376" i="11" s="1"/>
  <c r="E376" i="11" s="1"/>
  <c r="P376" i="11" s="1"/>
  <c r="K394" i="11"/>
  <c r="I394" i="11" s="1"/>
  <c r="E394" i="11" s="1"/>
  <c r="P394" i="11" s="1"/>
  <c r="K407" i="11"/>
  <c r="I407" i="11" s="1"/>
  <c r="K400" i="11"/>
  <c r="I400" i="11" s="1"/>
  <c r="E400" i="11" s="1"/>
  <c r="P400" i="11" s="1"/>
  <c r="K392" i="11"/>
  <c r="I392" i="11" s="1"/>
  <c r="E392" i="11" s="1"/>
  <c r="P392" i="11" s="1"/>
  <c r="K289" i="11"/>
  <c r="K291" i="11"/>
  <c r="K377" i="11"/>
  <c r="I377" i="11" s="1"/>
  <c r="E377" i="11" s="1"/>
  <c r="P377" i="11" s="1"/>
  <c r="K287" i="11"/>
  <c r="K296" i="11"/>
  <c r="K381" i="11"/>
  <c r="I381" i="11" s="1"/>
  <c r="E381" i="11" s="1"/>
  <c r="P381" i="11" s="1"/>
  <c r="K395" i="11"/>
  <c r="I395" i="11" s="1"/>
  <c r="E395" i="11" s="1"/>
  <c r="P395" i="11" s="1"/>
  <c r="K358" i="11"/>
  <c r="I358" i="11" s="1"/>
  <c r="K279" i="11"/>
  <c r="K356" i="11"/>
  <c r="K378" i="11"/>
  <c r="I378" i="11" s="1"/>
  <c r="K253" i="11"/>
  <c r="K277" i="11"/>
  <c r="K354" i="11"/>
  <c r="I354" i="11" s="1"/>
  <c r="K252" i="11"/>
  <c r="I252" i="11" s="1"/>
  <c r="K357" i="11"/>
  <c r="K256" i="11"/>
  <c r="K257" i="11"/>
  <c r="I257" i="11" s="1"/>
  <c r="K255" i="11"/>
  <c r="I255" i="11" s="1"/>
  <c r="K254" i="11"/>
  <c r="I254" i="11" s="1"/>
  <c r="K353" i="11"/>
  <c r="J351" i="11"/>
  <c r="G147" i="11"/>
  <c r="F147" i="11" s="1"/>
  <c r="F146" i="11"/>
  <c r="F210" i="11"/>
  <c r="G211" i="11"/>
  <c r="F211" i="11" s="1"/>
  <c r="G270" i="11"/>
  <c r="I253" i="11"/>
  <c r="G42" i="11"/>
  <c r="F42" i="11" s="1"/>
  <c r="E42" i="11" s="1"/>
  <c r="P42" i="11" s="1"/>
  <c r="F41" i="11"/>
  <c r="E41" i="11" s="1"/>
  <c r="G50" i="11"/>
  <c r="G46" i="11"/>
  <c r="AA48" i="13"/>
  <c r="H75" i="9" s="1"/>
  <c r="I361" i="11"/>
  <c r="I360" i="11"/>
  <c r="E107" i="2"/>
  <c r="O107" i="2" s="1"/>
  <c r="I441" i="11"/>
  <c r="E441" i="11" s="1"/>
  <c r="P441" i="11" s="1"/>
  <c r="E66" i="2"/>
  <c r="O66" i="2" s="1"/>
  <c r="E80" i="2"/>
  <c r="O80" i="2" s="1"/>
  <c r="E323" i="11"/>
  <c r="P323" i="11" s="1"/>
  <c r="E104" i="2"/>
  <c r="O104" i="2" s="1"/>
  <c r="E21" i="2"/>
  <c r="O21" i="2" s="1"/>
  <c r="E344" i="11"/>
  <c r="P344" i="11" s="1"/>
  <c r="E84" i="2"/>
  <c r="O84" i="2" s="1"/>
  <c r="I423" i="11"/>
  <c r="E423" i="11" s="1"/>
  <c r="P423" i="11" s="1"/>
  <c r="I449" i="11"/>
  <c r="E449" i="11" s="1"/>
  <c r="P449" i="11" s="1"/>
  <c r="I435" i="11"/>
  <c r="E435" i="11" s="1"/>
  <c r="P435" i="11" s="1"/>
  <c r="K264" i="11"/>
  <c r="I264" i="11" s="1"/>
  <c r="K261" i="11"/>
  <c r="I261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AA21" i="13"/>
  <c r="H48" i="9"/>
  <c r="F130" i="11"/>
  <c r="G131" i="11"/>
  <c r="F131" i="11" s="1"/>
  <c r="G371" i="11"/>
  <c r="K364" i="11"/>
  <c r="I364" i="11" s="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E124" i="11" s="1"/>
  <c r="P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E43" i="11" s="1"/>
  <c r="P43" i="11" s="1"/>
  <c r="G52" i="11"/>
  <c r="G48" i="11"/>
  <c r="E318" i="11"/>
  <c r="P318" i="11" s="1"/>
  <c r="I419" i="11"/>
  <c r="E419" i="11" s="1"/>
  <c r="P419" i="11" s="1"/>
  <c r="I431" i="11"/>
  <c r="E431" i="11" s="1"/>
  <c r="P431" i="11" s="1"/>
  <c r="E113" i="2"/>
  <c r="O113" i="2" s="1"/>
  <c r="I439" i="11"/>
  <c r="E439" i="11" s="1"/>
  <c r="P439" i="11" s="1"/>
  <c r="I265" i="11"/>
  <c r="I416" i="11"/>
  <c r="E416" i="11" s="1"/>
  <c r="P416" i="11" s="1"/>
  <c r="I448" i="11"/>
  <c r="E448" i="11" s="1"/>
  <c r="P448" i="11" s="1"/>
  <c r="I434" i="11"/>
  <c r="E434" i="11" s="1"/>
  <c r="P434" i="11" s="1"/>
  <c r="E330" i="11"/>
  <c r="P330" i="11" s="1"/>
  <c r="E25" i="2"/>
  <c r="O25" i="2" s="1"/>
  <c r="E320" i="11"/>
  <c r="P320" i="11" s="1"/>
  <c r="E103" i="2"/>
  <c r="O103" i="2" s="1"/>
  <c r="I424" i="11"/>
  <c r="E424" i="11" s="1"/>
  <c r="P424" i="11" s="1"/>
  <c r="K365" i="11"/>
  <c r="I365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G117" i="11"/>
  <c r="F117" i="11" s="1"/>
  <c r="F116" i="11"/>
  <c r="K352" i="11"/>
  <c r="I352" i="11" s="1"/>
  <c r="K251" i="11"/>
  <c r="K260" i="11"/>
  <c r="I260" i="11" s="1"/>
  <c r="G74" i="11"/>
  <c r="F74" i="11" s="1"/>
  <c r="E74" i="11" s="1"/>
  <c r="P74" i="11" s="1"/>
  <c r="F73" i="11"/>
  <c r="E73" i="11" s="1"/>
  <c r="G82" i="11"/>
  <c r="G78" i="11"/>
  <c r="I366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/>
  <c r="H64" i="9"/>
  <c r="F64" i="9"/>
  <c r="E64" i="9"/>
  <c r="I64" i="9"/>
  <c r="R47" i="13"/>
  <c r="F74" i="9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F248" i="11" s="1"/>
  <c r="E248" i="11" s="1"/>
  <c r="P248" i="11" s="1"/>
  <c r="G14" i="11"/>
  <c r="G269" i="11"/>
  <c r="G370" i="11"/>
  <c r="I20" i="13"/>
  <c r="E47" i="9" s="1"/>
  <c r="F244" i="11"/>
  <c r="G245" i="11"/>
  <c r="F245" i="11" s="1"/>
  <c r="K362" i="11"/>
  <c r="I362" i="11" s="1"/>
  <c r="I269" i="11"/>
  <c r="E23" i="2"/>
  <c r="O23" i="2" s="1"/>
  <c r="E322" i="11"/>
  <c r="P322" i="11" s="1"/>
  <c r="E430" i="11"/>
  <c r="P430" i="11" s="1"/>
  <c r="E81" i="17"/>
  <c r="K81" i="17" s="1"/>
  <c r="E74" i="2"/>
  <c r="O74" i="2" s="1"/>
  <c r="E59" i="2"/>
  <c r="O59" i="2" s="1"/>
  <c r="E328" i="11"/>
  <c r="P328" i="11" s="1"/>
  <c r="D21" i="16"/>
  <c r="E339" i="11"/>
  <c r="P339" i="11" s="1"/>
  <c r="E108" i="2"/>
  <c r="O108" i="2" s="1"/>
  <c r="E114" i="2"/>
  <c r="O114" i="2" s="1"/>
  <c r="E78" i="17"/>
  <c r="K78" i="17" s="1"/>
  <c r="E70" i="2"/>
  <c r="O70" i="2" s="1"/>
  <c r="E87" i="2"/>
  <c r="O87" i="2" s="1"/>
  <c r="D32" i="16"/>
  <c r="F10" i="17"/>
  <c r="E10" i="17" s="1"/>
  <c r="K10" i="17" s="1"/>
  <c r="F8" i="17"/>
  <c r="E8" i="17" s="1"/>
  <c r="K8" i="17" s="1"/>
  <c r="D28" i="16"/>
  <c r="E36" i="16"/>
  <c r="D36" i="16" s="1"/>
  <c r="D35" i="16"/>
  <c r="E85" i="2"/>
  <c r="O85" i="2" s="1"/>
  <c r="F44" i="17"/>
  <c r="E44" i="17" s="1"/>
  <c r="K44" i="17" s="1"/>
  <c r="D22" i="16"/>
  <c r="E93" i="2"/>
  <c r="O93" i="2" s="1"/>
  <c r="E42" i="2"/>
  <c r="O42" i="2" s="1"/>
  <c r="E24" i="2"/>
  <c r="O24" i="2" s="1"/>
  <c r="E63" i="2"/>
  <c r="O63" i="2" s="1"/>
  <c r="E62" i="2"/>
  <c r="O62" i="2" s="1"/>
  <c r="E49" i="2"/>
  <c r="O49" i="2" s="1"/>
  <c r="E79" i="2"/>
  <c r="O79" i="2" s="1"/>
  <c r="E33" i="2"/>
  <c r="O33" i="2" s="1"/>
  <c r="E35" i="2"/>
  <c r="O35" i="2" s="1"/>
  <c r="E17" i="2"/>
  <c r="O17" i="2" s="1"/>
  <c r="E45" i="2"/>
  <c r="O45" i="2" s="1"/>
  <c r="E52" i="2"/>
  <c r="O52" i="2" s="1"/>
  <c r="E60" i="2"/>
  <c r="O60" i="2" s="1"/>
  <c r="E39" i="2"/>
  <c r="O39" i="2" s="1"/>
  <c r="E40" i="2"/>
  <c r="O40" i="2" s="1"/>
  <c r="E27" i="2"/>
  <c r="O27" i="2" s="1"/>
  <c r="E28" i="2"/>
  <c r="O28" i="2" s="1"/>
  <c r="E56" i="2"/>
  <c r="O56" i="2" s="1"/>
  <c r="E54" i="2"/>
  <c r="O54" i="2" s="1"/>
  <c r="E73" i="2"/>
  <c r="O73" i="2" s="1"/>
  <c r="E51" i="2"/>
  <c r="O51" i="2" s="1"/>
  <c r="E55" i="2"/>
  <c r="O55" i="2" s="1"/>
  <c r="E16" i="2"/>
  <c r="O16" i="2" s="1"/>
  <c r="E67" i="2"/>
  <c r="O67" i="2" s="1"/>
  <c r="E61" i="2"/>
  <c r="O61" i="2" s="1"/>
  <c r="E18" i="2"/>
  <c r="O18" i="2" s="1"/>
  <c r="E53" i="2"/>
  <c r="O53" i="2" s="1"/>
  <c r="E31" i="2"/>
  <c r="O31" i="2" s="1"/>
  <c r="E46" i="2"/>
  <c r="O46" i="2" s="1"/>
  <c r="E76" i="2"/>
  <c r="O76" i="2" s="1"/>
  <c r="E65" i="2"/>
  <c r="O65" i="2" s="1"/>
  <c r="E34" i="2"/>
  <c r="O34" i="2" s="1"/>
  <c r="E57" i="2"/>
  <c r="O57" i="2" s="1"/>
  <c r="E72" i="2"/>
  <c r="O72" i="2" s="1"/>
  <c r="E58" i="2"/>
  <c r="O58" i="2" s="1"/>
  <c r="E29" i="2"/>
  <c r="O29" i="2" s="1"/>
  <c r="E64" i="2"/>
  <c r="O64" i="2" s="1"/>
  <c r="E15" i="2"/>
  <c r="O15" i="2" s="1"/>
  <c r="E22" i="2"/>
  <c r="O22" i="2" s="1"/>
  <c r="E11" i="2"/>
  <c r="O11" i="2" s="1"/>
  <c r="E78" i="2"/>
  <c r="O78" i="2" s="1"/>
  <c r="E50" i="2"/>
  <c r="O50" i="2" s="1"/>
  <c r="E77" i="2"/>
  <c r="O77" i="2" s="1"/>
  <c r="E12" i="2"/>
  <c r="O12" i="2" s="1"/>
  <c r="E26" i="2"/>
  <c r="O26" i="2" s="1"/>
  <c r="E38" i="2"/>
  <c r="O38" i="2" s="1"/>
  <c r="E41" i="2"/>
  <c r="O41" i="2" s="1"/>
  <c r="E19" i="2"/>
  <c r="O19" i="2" s="1"/>
  <c r="E47" i="2" l="1"/>
  <c r="O47" i="2" s="1"/>
  <c r="I351" i="11"/>
  <c r="H269" i="11"/>
  <c r="R20" i="13"/>
  <c r="F47" i="9" s="1"/>
  <c r="H370" i="11"/>
  <c r="G193" i="11"/>
  <c r="R50" i="13"/>
  <c r="F77" i="9" s="1"/>
  <c r="H352" i="11"/>
  <c r="H351" i="11" s="1"/>
  <c r="H251" i="11"/>
  <c r="H250" i="11" s="1"/>
  <c r="F126" i="11"/>
  <c r="G127" i="11"/>
  <c r="F127" i="11" s="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J359" i="11"/>
  <c r="AJ54" i="13"/>
  <c r="I81" i="9"/>
  <c r="E262" i="11"/>
  <c r="P262" i="11" s="1"/>
  <c r="P9" i="11"/>
  <c r="E8" i="11"/>
  <c r="P8" i="11" s="1"/>
  <c r="K250" i="11"/>
  <c r="R53" i="13"/>
  <c r="F80" i="9" s="1"/>
  <c r="AJ64" i="13"/>
  <c r="I91" i="9"/>
  <c r="F98" i="11"/>
  <c r="G99" i="11"/>
  <c r="F99" i="11" s="1"/>
  <c r="G69" i="11"/>
  <c r="F69" i="11" s="1"/>
  <c r="F68" i="11"/>
  <c r="G257" i="11"/>
  <c r="F257" i="11" s="1"/>
  <c r="E257" i="11" s="1"/>
  <c r="P257" i="11" s="1"/>
  <c r="G358" i="11"/>
  <c r="F358" i="11" s="1"/>
  <c r="E358" i="11" s="1"/>
  <c r="P358" i="11" s="1"/>
  <c r="G254" i="11"/>
  <c r="F254" i="11" s="1"/>
  <c r="E254" i="11" s="1"/>
  <c r="P254" i="11" s="1"/>
  <c r="G355" i="11"/>
  <c r="F355" i="11" s="1"/>
  <c r="E355" i="11" s="1"/>
  <c r="P355" i="11" s="1"/>
  <c r="R65" i="13"/>
  <c r="F92" i="9" s="1"/>
  <c r="E56" i="11"/>
  <c r="P56" i="11" s="1"/>
  <c r="P57" i="11"/>
  <c r="G145" i="11"/>
  <c r="I258" i="11"/>
  <c r="E258" i="11" s="1"/>
  <c r="P258" i="11" s="1"/>
  <c r="P169" i="11"/>
  <c r="E168" i="11"/>
  <c r="P168" i="11" s="1"/>
  <c r="P153" i="11"/>
  <c r="E152" i="11"/>
  <c r="P152" i="11" s="1"/>
  <c r="H371" i="11"/>
  <c r="R21" i="13"/>
  <c r="F48" i="9" s="1"/>
  <c r="H270" i="11"/>
  <c r="F270" i="11" s="1"/>
  <c r="E270" i="11" s="1"/>
  <c r="P270" i="11" s="1"/>
  <c r="G191" i="11"/>
  <c r="F59" i="9"/>
  <c r="R32" i="13"/>
  <c r="G241" i="11"/>
  <c r="F241" i="11" s="1"/>
  <c r="AA54" i="13"/>
  <c r="H81" i="9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E365" i="11"/>
  <c r="P365" i="11" s="1"/>
  <c r="G366" i="11"/>
  <c r="F366" i="11" s="1"/>
  <c r="E366" i="11" s="1"/>
  <c r="P366" i="11" s="1"/>
  <c r="G265" i="11"/>
  <c r="F265" i="11" s="1"/>
  <c r="G175" i="11"/>
  <c r="F158" i="11"/>
  <c r="G159" i="11"/>
  <c r="F159" i="11" s="1"/>
  <c r="G256" i="11"/>
  <c r="F256" i="11" s="1"/>
  <c r="E256" i="11" s="1"/>
  <c r="P256" i="11" s="1"/>
  <c r="G357" i="11"/>
  <c r="F357" i="11" s="1"/>
  <c r="E357" i="11" s="1"/>
  <c r="P357" i="11" s="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E232" i="11"/>
  <c r="P232" i="11" s="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/>
  <c r="K351" i="11"/>
  <c r="K359" i="11" s="1"/>
  <c r="K367" i="11" s="1"/>
  <c r="E88" i="11"/>
  <c r="P88" i="11" s="1"/>
  <c r="P89" i="11"/>
  <c r="F132" i="11"/>
  <c r="G133" i="11"/>
  <c r="F133" i="11" s="1"/>
  <c r="G261" i="11"/>
  <c r="G362" i="11"/>
  <c r="G177" i="11"/>
  <c r="F176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F143" i="11" s="1"/>
  <c r="F96" i="11"/>
  <c r="G97" i="11"/>
  <c r="F97" i="11" s="1"/>
  <c r="G31" i="11"/>
  <c r="F31" i="11" s="1"/>
  <c r="F30" i="11"/>
  <c r="AJ22" i="13"/>
  <c r="I49" i="9" s="1"/>
  <c r="F32" i="11"/>
  <c r="G33" i="11"/>
  <c r="F33" i="11" s="1"/>
  <c r="G252" i="11"/>
  <c r="F252" i="11" s="1"/>
  <c r="E252" i="11" s="1"/>
  <c r="P252" i="11" s="1"/>
  <c r="G353" i="11"/>
  <c r="F353" i="11" s="1"/>
  <c r="E353" i="11" s="1"/>
  <c r="P353" i="11" s="1"/>
  <c r="E40" i="11"/>
  <c r="P40" i="11" s="1"/>
  <c r="P41" i="11"/>
  <c r="F66" i="11"/>
  <c r="G67" i="11"/>
  <c r="F67" i="11" s="1"/>
  <c r="G197" i="11"/>
  <c r="F197" i="11" s="1"/>
  <c r="F196" i="11"/>
  <c r="F128" i="11"/>
  <c r="G129" i="11"/>
  <c r="AA36" i="13"/>
  <c r="H63" i="9"/>
  <c r="G352" i="11"/>
  <c r="G251" i="11"/>
  <c r="F180" i="11"/>
  <c r="G181" i="11"/>
  <c r="F181" i="11" s="1"/>
  <c r="P139" i="11"/>
  <c r="E136" i="11"/>
  <c r="P136" i="11" s="1"/>
  <c r="G209" i="11"/>
  <c r="F209" i="11" s="1"/>
  <c r="F208" i="11"/>
  <c r="AA32" i="13"/>
  <c r="H59" i="9"/>
  <c r="G113" i="11"/>
  <c r="F113" i="11" s="1"/>
  <c r="F112" i="11"/>
  <c r="R31" i="13"/>
  <c r="F58" i="9" s="1"/>
  <c r="G101" i="11"/>
  <c r="F101" i="11" s="1"/>
  <c r="F100" i="11"/>
  <c r="AJ28" i="13"/>
  <c r="I55" i="9"/>
  <c r="F34" i="11"/>
  <c r="G35" i="11"/>
  <c r="F35" i="11" s="1"/>
  <c r="AA22" i="13"/>
  <c r="H49" i="9" s="1"/>
  <c r="G37" i="11"/>
  <c r="F37" i="11" s="1"/>
  <c r="F36" i="11"/>
  <c r="F160" i="11"/>
  <c r="G161" i="11"/>
  <c r="F161" i="11" s="1"/>
  <c r="R24" i="13"/>
  <c r="F51" i="9" s="1"/>
  <c r="G95" i="11"/>
  <c r="AJ53" i="13"/>
  <c r="I80" i="9"/>
  <c r="F370" i="11"/>
  <c r="E370" i="11" s="1"/>
  <c r="P370" i="11" s="1"/>
  <c r="AJ42" i="13"/>
  <c r="I69" i="9" s="1"/>
  <c r="G79" i="11"/>
  <c r="F79" i="11" s="1"/>
  <c r="G49" i="11"/>
  <c r="G253" i="11"/>
  <c r="F253" i="11" s="1"/>
  <c r="E253" i="11" s="1"/>
  <c r="P253" i="11" s="1"/>
  <c r="G354" i="11"/>
  <c r="F354" i="11" s="1"/>
  <c r="E354" i="11" s="1"/>
  <c r="P354" i="11" s="1"/>
  <c r="I250" i="11"/>
  <c r="I312" i="11"/>
  <c r="E312" i="11" s="1"/>
  <c r="P312" i="11" s="1"/>
  <c r="I271" i="11"/>
  <c r="E271" i="11" s="1"/>
  <c r="P271" i="11" s="1"/>
  <c r="I311" i="11"/>
  <c r="E311" i="11" s="1"/>
  <c r="P311" i="11" s="1"/>
  <c r="I308" i="11"/>
  <c r="E308" i="11" s="1"/>
  <c r="P308" i="11" s="1"/>
  <c r="I313" i="11"/>
  <c r="E313" i="11" s="1"/>
  <c r="P313" i="11" s="1"/>
  <c r="I279" i="11"/>
  <c r="E279" i="11" s="1"/>
  <c r="P279" i="11" s="1"/>
  <c r="I274" i="11"/>
  <c r="E274" i="11" s="1"/>
  <c r="P274" i="11" s="1"/>
  <c r="I281" i="11"/>
  <c r="E281" i="11" s="1"/>
  <c r="P281" i="11" s="1"/>
  <c r="I309" i="11"/>
  <c r="E309" i="11" s="1"/>
  <c r="P309" i="11" s="1"/>
  <c r="I303" i="11"/>
  <c r="E303" i="11" s="1"/>
  <c r="P303" i="11" s="1"/>
  <c r="I302" i="11"/>
  <c r="E302" i="11" s="1"/>
  <c r="P302" i="11" s="1"/>
  <c r="I307" i="11"/>
  <c r="E307" i="11" s="1"/>
  <c r="P307" i="11" s="1"/>
  <c r="I310" i="11"/>
  <c r="E310" i="11" s="1"/>
  <c r="P310" i="11" s="1"/>
  <c r="I293" i="11"/>
  <c r="E293" i="11" s="1"/>
  <c r="P293" i="11" s="1"/>
  <c r="I299" i="11"/>
  <c r="E299" i="11" s="1"/>
  <c r="P299" i="11" s="1"/>
  <c r="I294" i="11"/>
  <c r="E294" i="11" s="1"/>
  <c r="P294" i="11" s="1"/>
  <c r="I273" i="11"/>
  <c r="E273" i="11" s="1"/>
  <c r="P273" i="11" s="1"/>
  <c r="I292" i="11"/>
  <c r="E292" i="11" s="1"/>
  <c r="P292" i="11" s="1"/>
  <c r="I278" i="11"/>
  <c r="E278" i="11" s="1"/>
  <c r="P278" i="11" s="1"/>
  <c r="I298" i="11"/>
  <c r="E298" i="11" s="1"/>
  <c r="P298" i="11" s="1"/>
  <c r="I295" i="11"/>
  <c r="E295" i="11" s="1"/>
  <c r="P295" i="11" s="1"/>
  <c r="I282" i="11"/>
  <c r="E282" i="11" s="1"/>
  <c r="P282" i="11" s="1"/>
  <c r="I300" i="11"/>
  <c r="E300" i="11" s="1"/>
  <c r="P300" i="11" s="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E297" i="11" s="1"/>
  <c r="P297" i="11" s="1"/>
  <c r="I275" i="11"/>
  <c r="E275" i="11" s="1"/>
  <c r="P275" i="11" s="1"/>
  <c r="I301" i="11"/>
  <c r="E301" i="11" s="1"/>
  <c r="P301" i="11" s="1"/>
  <c r="I314" i="11"/>
  <c r="E314" i="11" s="1"/>
  <c r="P314" i="11" s="1"/>
  <c r="I291" i="11"/>
  <c r="E291" i="11" s="1"/>
  <c r="P291" i="11" s="1"/>
  <c r="I286" i="11"/>
  <c r="E286" i="11" s="1"/>
  <c r="P286" i="11" s="1"/>
  <c r="I288" i="11"/>
  <c r="E288" i="11" s="1"/>
  <c r="P288" i="11" s="1"/>
  <c r="I270" i="11"/>
  <c r="I267" i="11"/>
  <c r="E267" i="11" s="1"/>
  <c r="P267" i="11" s="1"/>
  <c r="I27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F206" i="11"/>
  <c r="G207" i="11"/>
  <c r="F207" i="11" s="1"/>
  <c r="AA31" i="13"/>
  <c r="H58" i="9"/>
  <c r="AA28" i="13"/>
  <c r="H55" i="9" s="1"/>
  <c r="F28" i="11"/>
  <c r="E28" i="11" s="1"/>
  <c r="P28" i="11" s="1"/>
  <c r="G227" i="11"/>
  <c r="F227" i="11" s="1"/>
  <c r="F226" i="11"/>
  <c r="F84" i="11"/>
  <c r="G85" i="11"/>
  <c r="F85" i="11" s="1"/>
  <c r="E363" i="11"/>
  <c r="P363" i="11" s="1"/>
  <c r="F91" i="9"/>
  <c r="R64" i="13"/>
  <c r="AA65" i="13"/>
  <c r="H92" i="9" s="1"/>
  <c r="Q13" i="13"/>
  <c r="F39" i="9" s="1"/>
  <c r="G179" i="11"/>
  <c r="F179" i="11" s="1"/>
  <c r="F178" i="11"/>
  <c r="P105" i="11"/>
  <c r="E104" i="11"/>
  <c r="P104" i="11" s="1"/>
  <c r="F16" i="11"/>
  <c r="G17" i="11"/>
  <c r="F17" i="11" s="1"/>
  <c r="AA64" i="13"/>
  <c r="H91" i="9" s="1"/>
  <c r="AJ34" i="13"/>
  <c r="I61" i="9"/>
  <c r="R42" i="13"/>
  <c r="F69" i="9"/>
  <c r="F52" i="11"/>
  <c r="G53" i="11"/>
  <c r="F53" i="11" s="1"/>
  <c r="AA50" i="13"/>
  <c r="H77" i="9" s="1"/>
  <c r="F371" i="11"/>
  <c r="E371" i="11" s="1"/>
  <c r="P371" i="11" s="1"/>
  <c r="G259" i="11"/>
  <c r="G360" i="11"/>
  <c r="G255" i="11"/>
  <c r="F255" i="11" s="1"/>
  <c r="E255" i="11" s="1"/>
  <c r="P255" i="11" s="1"/>
  <c r="G356" i="11"/>
  <c r="F356" i="11" s="1"/>
  <c r="E356" i="11" s="1"/>
  <c r="P356" i="11" s="1"/>
  <c r="G47" i="11"/>
  <c r="R10" i="13"/>
  <c r="Q15" i="13"/>
  <c r="F41" i="9" s="1"/>
  <c r="F110" i="11"/>
  <c r="G111" i="11"/>
  <c r="F111" i="11" s="1"/>
  <c r="F224" i="11"/>
  <c r="G225" i="11"/>
  <c r="F225" i="11" s="1"/>
  <c r="AJ31" i="13"/>
  <c r="I58" i="9" s="1"/>
  <c r="P25" i="11"/>
  <c r="E24" i="11"/>
  <c r="P24" i="11" s="1"/>
  <c r="F49" i="9"/>
  <c r="R22" i="13"/>
  <c r="R34" i="13"/>
  <c r="F61" i="9" s="1"/>
  <c r="G264" i="11"/>
  <c r="F264" i="11" s="1"/>
  <c r="E264" i="11" s="1"/>
  <c r="P264" i="11" s="1"/>
  <c r="G365" i="11"/>
  <c r="F365" i="11" s="1"/>
  <c r="F164" i="11"/>
  <c r="G165" i="11"/>
  <c r="F165" i="11" s="1"/>
  <c r="P217" i="11"/>
  <c r="E216" i="11"/>
  <c r="P216" i="11" s="1"/>
  <c r="G260" i="11"/>
  <c r="G361" i="11"/>
  <c r="F269" i="11"/>
  <c r="E269" i="11" s="1"/>
  <c r="P269" i="11" s="1"/>
  <c r="AJ36" i="13"/>
  <c r="I63" i="9" s="1"/>
  <c r="G83" i="11"/>
  <c r="F83" i="11" s="1"/>
  <c r="F82" i="11"/>
  <c r="G15" i="11"/>
  <c r="F15" i="11" s="1"/>
  <c r="F14" i="11"/>
  <c r="R36" i="13"/>
  <c r="F63" i="9" s="1"/>
  <c r="H69" i="9"/>
  <c r="AA42" i="13"/>
  <c r="P73" i="11"/>
  <c r="E72" i="11"/>
  <c r="P72" i="11" s="1"/>
  <c r="AA34" i="13"/>
  <c r="H61" i="9" s="1"/>
  <c r="E265" i="11"/>
  <c r="P265" i="11" s="1"/>
  <c r="AJ50" i="13"/>
  <c r="I77" i="9"/>
  <c r="G363" i="11"/>
  <c r="F363" i="11" s="1"/>
  <c r="G262" i="11"/>
  <c r="F262" i="11" s="1"/>
  <c r="G364" i="11"/>
  <c r="G263" i="11"/>
  <c r="AJ65" i="13"/>
  <c r="I92" i="9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I289" i="11"/>
  <c r="G223" i="11"/>
  <c r="F223" i="11" s="1"/>
  <c r="F222" i="11"/>
  <c r="F80" i="11"/>
  <c r="G81" i="11"/>
  <c r="F81" i="11" s="1"/>
  <c r="G239" i="11"/>
  <c r="H51" i="9"/>
  <c r="AA24" i="13"/>
  <c r="H364" i="11" l="1"/>
  <c r="H263" i="11"/>
  <c r="F263" i="11" s="1"/>
  <c r="E263" i="11" s="1"/>
  <c r="P263" i="11" s="1"/>
  <c r="E110" i="11"/>
  <c r="K111" i="11"/>
  <c r="I111" i="11" s="1"/>
  <c r="I110" i="11"/>
  <c r="I192" i="11"/>
  <c r="K193" i="11"/>
  <c r="I193" i="11" s="1"/>
  <c r="F145" i="11"/>
  <c r="H407" i="11"/>
  <c r="F407" i="11" s="1"/>
  <c r="E407" i="11" s="1"/>
  <c r="P407" i="11" s="1"/>
  <c r="H306" i="11"/>
  <c r="F306" i="11" s="1"/>
  <c r="E306" i="11" s="1"/>
  <c r="P306" i="11" s="1"/>
  <c r="R57" i="13"/>
  <c r="F84" i="9" s="1"/>
  <c r="H260" i="11"/>
  <c r="H361" i="11"/>
  <c r="F361" i="11" s="1"/>
  <c r="E361" i="11" s="1"/>
  <c r="P361" i="11" s="1"/>
  <c r="K181" i="11"/>
  <c r="I181" i="11" s="1"/>
  <c r="I180" i="11"/>
  <c r="E180" i="11" s="1"/>
  <c r="P180" i="11" s="1"/>
  <c r="K179" i="11"/>
  <c r="I179" i="11" s="1"/>
  <c r="I178" i="11"/>
  <c r="E178" i="11" s="1"/>
  <c r="P178" i="11" s="1"/>
  <c r="K97" i="11"/>
  <c r="I97" i="11" s="1"/>
  <c r="E97" i="11" s="1"/>
  <c r="P97" i="11" s="1"/>
  <c r="I96" i="11"/>
  <c r="H362" i="11"/>
  <c r="F362" i="11" s="1"/>
  <c r="E362" i="11" s="1"/>
  <c r="P362" i="11" s="1"/>
  <c r="H261" i="11"/>
  <c r="E213" i="11"/>
  <c r="P213" i="11" s="1"/>
  <c r="E36" i="11"/>
  <c r="P36" i="11" s="1"/>
  <c r="G250" i="11"/>
  <c r="F250" i="11" s="1"/>
  <c r="E250" i="11" s="1"/>
  <c r="P250" i="11" s="1"/>
  <c r="F251" i="11"/>
  <c r="E251" i="11" s="1"/>
  <c r="P251" i="11" s="1"/>
  <c r="F142" i="11"/>
  <c r="E148" i="11"/>
  <c r="P148" i="11" s="1"/>
  <c r="E133" i="11"/>
  <c r="P133" i="11" s="1"/>
  <c r="K245" i="11"/>
  <c r="I245" i="11" s="1"/>
  <c r="E245" i="11" s="1"/>
  <c r="P245" i="11" s="1"/>
  <c r="I244" i="11"/>
  <c r="E244" i="11" s="1"/>
  <c r="P244" i="11" s="1"/>
  <c r="K149" i="11"/>
  <c r="I149" i="11" s="1"/>
  <c r="E149" i="11" s="1"/>
  <c r="P149" i="11" s="1"/>
  <c r="I148" i="11"/>
  <c r="I210" i="11"/>
  <c r="E210" i="11" s="1"/>
  <c r="P210" i="11" s="1"/>
  <c r="K211" i="11"/>
  <c r="I211" i="11" s="1"/>
  <c r="E211" i="11" s="1"/>
  <c r="P211" i="11" s="1"/>
  <c r="K85" i="11"/>
  <c r="I85" i="11" s="1"/>
  <c r="E85" i="11" s="1"/>
  <c r="P85" i="11" s="1"/>
  <c r="I84" i="11"/>
  <c r="E159" i="11"/>
  <c r="K175" i="11"/>
  <c r="I175" i="11" s="1"/>
  <c r="I174" i="11"/>
  <c r="K129" i="11"/>
  <c r="I129" i="11" s="1"/>
  <c r="I128" i="11"/>
  <c r="I14" i="11"/>
  <c r="K15" i="11"/>
  <c r="I15" i="11" s="1"/>
  <c r="E15" i="11" s="1"/>
  <c r="K159" i="11"/>
  <c r="I159" i="11" s="1"/>
  <c r="I158" i="11"/>
  <c r="E158" i="11" s="1"/>
  <c r="E128" i="11"/>
  <c r="P128" i="11" s="1"/>
  <c r="I164" i="11"/>
  <c r="K165" i="11"/>
  <c r="I165" i="11" s="1"/>
  <c r="E165" i="11" s="1"/>
  <c r="P165" i="11" s="1"/>
  <c r="E223" i="11"/>
  <c r="E14" i="11"/>
  <c r="F260" i="11"/>
  <c r="E260" i="11" s="1"/>
  <c r="P260" i="11" s="1"/>
  <c r="R40" i="13"/>
  <c r="F67" i="9" s="1"/>
  <c r="H289" i="11"/>
  <c r="F289" i="11" s="1"/>
  <c r="E289" i="11" s="1"/>
  <c r="P289" i="11" s="1"/>
  <c r="H390" i="11"/>
  <c r="F390" i="11" s="1"/>
  <c r="E390" i="11" s="1"/>
  <c r="P390" i="11" s="1"/>
  <c r="E179" i="11"/>
  <c r="P179" i="11" s="1"/>
  <c r="E84" i="11"/>
  <c r="P84" i="11" s="1"/>
  <c r="F49" i="11"/>
  <c r="E49" i="11" s="1"/>
  <c r="P49" i="11" s="1"/>
  <c r="E37" i="11"/>
  <c r="P37" i="11" s="1"/>
  <c r="F352" i="11"/>
  <c r="E352" i="11" s="1"/>
  <c r="P352" i="11" s="1"/>
  <c r="G351" i="11"/>
  <c r="F351" i="11" s="1"/>
  <c r="E351" i="11" s="1"/>
  <c r="P351" i="11" s="1"/>
  <c r="E67" i="11"/>
  <c r="P67" i="11" s="1"/>
  <c r="K67" i="11"/>
  <c r="I67" i="11" s="1"/>
  <c r="I66" i="11"/>
  <c r="K53" i="11"/>
  <c r="I53" i="11" s="1"/>
  <c r="I52" i="11"/>
  <c r="K101" i="11"/>
  <c r="I101" i="11" s="1"/>
  <c r="E101" i="11" s="1"/>
  <c r="P101" i="11" s="1"/>
  <c r="I100" i="11"/>
  <c r="E100" i="11" s="1"/>
  <c r="P100" i="11" s="1"/>
  <c r="K37" i="11"/>
  <c r="I37" i="11" s="1"/>
  <c r="I36" i="11"/>
  <c r="K31" i="11"/>
  <c r="I31" i="11" s="1"/>
  <c r="I30" i="11"/>
  <c r="K33" i="11"/>
  <c r="I33" i="11" s="1"/>
  <c r="I32" i="11"/>
  <c r="E32" i="11" s="1"/>
  <c r="P32" i="11" s="1"/>
  <c r="K127" i="11"/>
  <c r="I127" i="11" s="1"/>
  <c r="E127" i="11" s="1"/>
  <c r="I126" i="11"/>
  <c r="E126" i="11" s="1"/>
  <c r="K161" i="11"/>
  <c r="I161" i="11" s="1"/>
  <c r="I160" i="11"/>
  <c r="F240" i="11"/>
  <c r="J367" i="11"/>
  <c r="I367" i="11" s="1"/>
  <c r="E367" i="11" s="1"/>
  <c r="P367" i="11" s="1"/>
  <c r="I359" i="11"/>
  <c r="E359" i="11" s="1"/>
  <c r="P359" i="11" s="1"/>
  <c r="E19" i="11"/>
  <c r="P19" i="11" s="1"/>
  <c r="E164" i="11"/>
  <c r="P164" i="11" s="1"/>
  <c r="F62" i="11"/>
  <c r="F364" i="11"/>
  <c r="E364" i="11" s="1"/>
  <c r="P364" i="11" s="1"/>
  <c r="H360" i="11"/>
  <c r="F360" i="11" s="1"/>
  <c r="E360" i="11" s="1"/>
  <c r="P360" i="11" s="1"/>
  <c r="H259" i="11"/>
  <c r="F259" i="11" s="1"/>
  <c r="E259" i="11" s="1"/>
  <c r="P259" i="11" s="1"/>
  <c r="E226" i="11"/>
  <c r="P226" i="11" s="1"/>
  <c r="F48" i="11"/>
  <c r="F95" i="11"/>
  <c r="E66" i="11"/>
  <c r="P66" i="11" s="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K133" i="11"/>
  <c r="I133" i="11" s="1"/>
  <c r="I132" i="11"/>
  <c r="E132" i="11" s="1"/>
  <c r="P132" i="11" s="1"/>
  <c r="K229" i="11"/>
  <c r="I229" i="11" s="1"/>
  <c r="E229" i="11" s="1"/>
  <c r="P229" i="11" s="1"/>
  <c r="I228" i="11"/>
  <c r="E228" i="11" s="1"/>
  <c r="P228" i="11" s="1"/>
  <c r="F175" i="11"/>
  <c r="E175" i="11" s="1"/>
  <c r="K95" i="11"/>
  <c r="I95" i="11" s="1"/>
  <c r="I94" i="11"/>
  <c r="K49" i="11"/>
  <c r="I49" i="11" s="1"/>
  <c r="I48" i="11"/>
  <c r="K113" i="11"/>
  <c r="I113" i="11" s="1"/>
  <c r="E113" i="11" s="1"/>
  <c r="P113" i="11" s="1"/>
  <c r="I112" i="11"/>
  <c r="K225" i="11"/>
  <c r="I225" i="11" s="1"/>
  <c r="I224" i="11"/>
  <c r="E224" i="11" s="1"/>
  <c r="P224" i="11" s="1"/>
  <c r="E162" i="11"/>
  <c r="P162" i="11" s="1"/>
  <c r="E161" i="11"/>
  <c r="P161" i="11" s="1"/>
  <c r="H277" i="11"/>
  <c r="F277" i="11" s="1"/>
  <c r="E277" i="11" s="1"/>
  <c r="P277" i="11" s="1"/>
  <c r="H378" i="11"/>
  <c r="F378" i="11" s="1"/>
  <c r="E378" i="11" s="1"/>
  <c r="P378" i="11" s="1"/>
  <c r="K117" i="11"/>
  <c r="I117" i="11" s="1"/>
  <c r="E117" i="11" s="1"/>
  <c r="P117" i="11" s="1"/>
  <c r="I116" i="11"/>
  <c r="E116" i="11" s="1"/>
  <c r="P116" i="11" s="1"/>
  <c r="I212" i="11"/>
  <c r="E212" i="11" s="1"/>
  <c r="P212" i="11" s="1"/>
  <c r="K213" i="11"/>
  <c r="I213" i="11" s="1"/>
  <c r="K209" i="11"/>
  <c r="I209" i="11" s="1"/>
  <c r="E209" i="11" s="1"/>
  <c r="P209" i="11" s="1"/>
  <c r="I208" i="11"/>
  <c r="E208" i="11" s="1"/>
  <c r="P208" i="11" s="1"/>
  <c r="E33" i="11"/>
  <c r="P33" i="11" s="1"/>
  <c r="E114" i="11"/>
  <c r="P114" i="11" s="1"/>
  <c r="E206" i="11"/>
  <c r="E30" i="11"/>
  <c r="I146" i="11"/>
  <c r="E146" i="11" s="1"/>
  <c r="P146" i="11" s="1"/>
  <c r="K147" i="11"/>
  <c r="I147" i="11" s="1"/>
  <c r="E147" i="11" s="1"/>
  <c r="P147" i="11" s="1"/>
  <c r="K163" i="11"/>
  <c r="I163" i="11" s="1"/>
  <c r="I162" i="11"/>
  <c r="I226" i="11"/>
  <c r="K227" i="11"/>
  <c r="I227" i="11" s="1"/>
  <c r="K51" i="11"/>
  <c r="I51" i="11" s="1"/>
  <c r="E51" i="11" s="1"/>
  <c r="P51" i="11" s="1"/>
  <c r="I50" i="11"/>
  <c r="F174" i="11"/>
  <c r="E174" i="11" s="1"/>
  <c r="K177" i="11"/>
  <c r="I177" i="11" s="1"/>
  <c r="I176" i="11"/>
  <c r="E176" i="11" s="1"/>
  <c r="P176" i="11" s="1"/>
  <c r="K63" i="11"/>
  <c r="I63" i="11" s="1"/>
  <c r="I62" i="11"/>
  <c r="K17" i="11"/>
  <c r="I17" i="11" s="1"/>
  <c r="I16" i="11"/>
  <c r="K65" i="11"/>
  <c r="I65" i="11" s="1"/>
  <c r="I64" i="11"/>
  <c r="E163" i="11"/>
  <c r="P163" i="11" s="1"/>
  <c r="E243" i="11"/>
  <c r="P243" i="11" s="1"/>
  <c r="E96" i="11"/>
  <c r="P96" i="11" s="1"/>
  <c r="F144" i="11"/>
  <c r="F63" i="11"/>
  <c r="E82" i="11"/>
  <c r="P82" i="11" s="1"/>
  <c r="E227" i="11"/>
  <c r="P227" i="11" s="1"/>
  <c r="F94" i="11"/>
  <c r="F239" i="11"/>
  <c r="E239" i="11" s="1"/>
  <c r="E115" i="11"/>
  <c r="P115" i="11" s="1"/>
  <c r="E225" i="11"/>
  <c r="P225" i="11" s="1"/>
  <c r="F46" i="11"/>
  <c r="E53" i="11"/>
  <c r="P53" i="11" s="1"/>
  <c r="E17" i="11"/>
  <c r="P17" i="11" s="1"/>
  <c r="F78" i="11"/>
  <c r="E78" i="11" s="1"/>
  <c r="E112" i="11"/>
  <c r="P112" i="11" s="1"/>
  <c r="E31" i="11"/>
  <c r="F177" i="11"/>
  <c r="E177" i="11" s="1"/>
  <c r="P177" i="11" s="1"/>
  <c r="K131" i="11"/>
  <c r="I131" i="11" s="1"/>
  <c r="E131" i="11" s="1"/>
  <c r="P131" i="11" s="1"/>
  <c r="I130" i="11"/>
  <c r="E130" i="11" s="1"/>
  <c r="P130" i="11" s="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I114" i="11"/>
  <c r="K115" i="11"/>
  <c r="I115" i="11" s="1"/>
  <c r="K241" i="11"/>
  <c r="I241" i="11" s="1"/>
  <c r="E241" i="11" s="1"/>
  <c r="P241" i="11" s="1"/>
  <c r="I240" i="11"/>
  <c r="K239" i="11"/>
  <c r="I239" i="11" s="1"/>
  <c r="I238" i="11"/>
  <c r="K145" i="11"/>
  <c r="I145" i="11" s="1"/>
  <c r="I144" i="11"/>
  <c r="K207" i="11"/>
  <c r="I207" i="11" s="1"/>
  <c r="E207" i="11" s="1"/>
  <c r="I206" i="11"/>
  <c r="F190" i="11"/>
  <c r="F64" i="11"/>
  <c r="E64" i="11" s="1"/>
  <c r="P64" i="11" s="1"/>
  <c r="F192" i="11"/>
  <c r="E192" i="11" s="1"/>
  <c r="P192" i="11" s="1"/>
  <c r="E111" i="11"/>
  <c r="K243" i="11"/>
  <c r="I243" i="11" s="1"/>
  <c r="I242" i="11"/>
  <c r="E242" i="11" s="1"/>
  <c r="P242" i="11" s="1"/>
  <c r="K47" i="11"/>
  <c r="I47" i="11" s="1"/>
  <c r="I46" i="11"/>
  <c r="K191" i="11"/>
  <c r="I191" i="11" s="1"/>
  <c r="I190" i="11"/>
  <c r="E160" i="11"/>
  <c r="P160" i="11" s="1"/>
  <c r="F261" i="11"/>
  <c r="E261" i="11" s="1"/>
  <c r="P261" i="11" s="1"/>
  <c r="F238" i="11"/>
  <c r="F47" i="11"/>
  <c r="E50" i="11"/>
  <c r="P50" i="11" s="1"/>
  <c r="E52" i="11"/>
  <c r="P52" i="11" s="1"/>
  <c r="E16" i="11"/>
  <c r="P16" i="11" s="1"/>
  <c r="E34" i="11"/>
  <c r="P34" i="11" s="1"/>
  <c r="E181" i="11"/>
  <c r="P181" i="11" s="1"/>
  <c r="F129" i="11"/>
  <c r="E129" i="11" s="1"/>
  <c r="P129" i="11" s="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K21" i="11"/>
  <c r="I21" i="11" s="1"/>
  <c r="E21" i="11" s="1"/>
  <c r="P21" i="11" s="1"/>
  <c r="I20" i="11"/>
  <c r="E20" i="11" s="1"/>
  <c r="P20" i="11" s="1"/>
  <c r="K19" i="11"/>
  <c r="I19" i="11" s="1"/>
  <c r="I18" i="11"/>
  <c r="E18" i="11" s="1"/>
  <c r="P18" i="11" s="1"/>
  <c r="K81" i="11"/>
  <c r="I81" i="11" s="1"/>
  <c r="E81" i="11" s="1"/>
  <c r="P81" i="11" s="1"/>
  <c r="I80" i="11"/>
  <c r="E80" i="11" s="1"/>
  <c r="P80" i="11" s="1"/>
  <c r="K143" i="11"/>
  <c r="I143" i="11" s="1"/>
  <c r="E143" i="11" s="1"/>
  <c r="I142" i="11"/>
  <c r="I222" i="11"/>
  <c r="E222" i="11" s="1"/>
  <c r="K223" i="11"/>
  <c r="I223" i="11" s="1"/>
  <c r="I78" i="11"/>
  <c r="K79" i="11"/>
  <c r="I79" i="11" s="1"/>
  <c r="E79" i="11" s="1"/>
  <c r="F191" i="11"/>
  <c r="E191" i="11" s="1"/>
  <c r="E98" i="11"/>
  <c r="P98" i="11" s="1"/>
  <c r="F65" i="11"/>
  <c r="E65" i="11" s="1"/>
  <c r="P65" i="11" s="1"/>
  <c r="F193" i="11"/>
  <c r="E193" i="11" s="1"/>
  <c r="P193" i="11" s="1"/>
  <c r="E87" i="11" l="1"/>
  <c r="P87" i="11" s="1"/>
  <c r="P79" i="11"/>
  <c r="E230" i="11"/>
  <c r="P230" i="11" s="1"/>
  <c r="P222" i="11"/>
  <c r="E221" i="11"/>
  <c r="P221" i="11" s="1"/>
  <c r="E157" i="11"/>
  <c r="P157" i="11" s="1"/>
  <c r="E166" i="11"/>
  <c r="P166" i="11" s="1"/>
  <c r="P158" i="11"/>
  <c r="E151" i="11"/>
  <c r="P151" i="11" s="1"/>
  <c r="P143" i="11"/>
  <c r="E215" i="11"/>
  <c r="P215" i="11" s="1"/>
  <c r="P207" i="11"/>
  <c r="P126" i="11"/>
  <c r="E134" i="11"/>
  <c r="P134" i="11" s="1"/>
  <c r="E125" i="11"/>
  <c r="P125" i="11" s="1"/>
  <c r="E23" i="11"/>
  <c r="P23" i="11" s="1"/>
  <c r="P15" i="11"/>
  <c r="P127" i="11"/>
  <c r="E135" i="11"/>
  <c r="P135" i="11" s="1"/>
  <c r="E46" i="11"/>
  <c r="E29" i="11"/>
  <c r="P29" i="11" s="1"/>
  <c r="P30" i="11"/>
  <c r="E38" i="11"/>
  <c r="P38" i="11" s="1"/>
  <c r="E238" i="11"/>
  <c r="P31" i="11"/>
  <c r="E39" i="11"/>
  <c r="P39" i="11" s="1"/>
  <c r="E144" i="11"/>
  <c r="P144" i="11" s="1"/>
  <c r="E231" i="11"/>
  <c r="P231" i="11" s="1"/>
  <c r="P223" i="11"/>
  <c r="P159" i="11"/>
  <c r="E167" i="11"/>
  <c r="P167" i="11" s="1"/>
  <c r="P175" i="11"/>
  <c r="E183" i="11"/>
  <c r="P183" i="11" s="1"/>
  <c r="E118" i="11"/>
  <c r="P118" i="11" s="1"/>
  <c r="P110" i="11"/>
  <c r="E109" i="11"/>
  <c r="P109" i="11" s="1"/>
  <c r="E142" i="11"/>
  <c r="E119" i="11"/>
  <c r="P119" i="11" s="1"/>
  <c r="P111" i="11"/>
  <c r="P78" i="11"/>
  <c r="E77" i="11"/>
  <c r="P77" i="11" s="1"/>
  <c r="E86" i="11"/>
  <c r="P86" i="11" s="1"/>
  <c r="E190" i="11"/>
  <c r="E173" i="11"/>
  <c r="P173" i="11" s="1"/>
  <c r="P174" i="11"/>
  <c r="E182" i="11"/>
  <c r="P182" i="11" s="1"/>
  <c r="E240" i="11"/>
  <c r="P240" i="11" s="1"/>
  <c r="E145" i="11"/>
  <c r="P145" i="11" s="1"/>
  <c r="E205" i="11"/>
  <c r="P205" i="11" s="1"/>
  <c r="E214" i="11"/>
  <c r="P214" i="11" s="1"/>
  <c r="P206" i="11"/>
  <c r="P191" i="11"/>
  <c r="E199" i="11"/>
  <c r="P199" i="11" s="1"/>
  <c r="E63" i="11"/>
  <c r="E95" i="11"/>
  <c r="E62" i="11"/>
  <c r="P239" i="11"/>
  <c r="E247" i="11"/>
  <c r="P247" i="11" s="1"/>
  <c r="E94" i="11"/>
  <c r="E47" i="11"/>
  <c r="E48" i="11"/>
  <c r="P48" i="11" s="1"/>
  <c r="E22" i="11"/>
  <c r="P22" i="11" s="1"/>
  <c r="E13" i="11"/>
  <c r="P13" i="11" s="1"/>
  <c r="P14" i="11"/>
  <c r="E70" i="11" l="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</calcChain>
</file>

<file path=xl/comments1.xml><?xml version="1.0" encoding="utf-8"?>
<comments xmlns="http://schemas.openxmlformats.org/spreadsheetml/2006/main">
  <authors>
    <author>Болковой Александр Алексеевич</author>
  </authors>
  <commentList>
    <comment ref="G5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Иноземцева Александра Алексеевна</author>
  </authors>
  <commentList>
    <comment ref="B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>
  <authors>
    <author>Иноземцева Александра Алексеевна</author>
  </authors>
  <commentList>
    <comment ref="E13" authorId="0" shapeId="0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>
  <authors>
    <author>Паршин Павел Владимирович</author>
  </authors>
  <commentList>
    <comment ref="B17" authorId="0" shapeId="0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</authors>
  <commentList>
    <comment ref="O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>
  <authors>
    <author>Иноземцева Александра Алексеевна</author>
    <author>Паршин Павел Владимирович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>
  <authors>
    <author>Болковой Александр Алексеевич</author>
    <author>Иноземцева Александра Алексеевна</author>
  </authors>
  <commentList>
    <comment ref="K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78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3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<sst xmlns="http://schemas.openxmlformats.org/spreadsheetml/2006/main" count="2068" uniqueCount="477">
  <si>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</si>
  <si>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</si>
  <si>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</si>
  <si>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</si>
  <si>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</si>
  <si>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</si>
  <si>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</si>
  <si>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</si>
  <si>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</si>
  <si>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</si>
  <si>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</si>
  <si>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</si>
  <si>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</si>
  <si>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</si>
  <si>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</si>
  <si>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</si>
  <si>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</si>
  <si>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</si>
  <si>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</si>
  <si>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</si>
  <si>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</si>
  <si>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</si>
  <si>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</si>
  <si>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</si>
  <si>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</si>
  <si>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</si>
  <si>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</si>
  <si>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</si>
  <si>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</si>
  <si>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</si>
  <si>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</si>
  <si>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</si>
  <si>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</si>
  <si>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</si>
  <si>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</si>
  <si>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</si>
  <si>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</si>
  <si>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</si>
  <si>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</si>
  <si>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</si>
  <si>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</si>
  <si>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</si>
  <si>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</si>
  <si>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</si>
  <si>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</si>
  <si>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</si>
  <si>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</si>
  <si>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</si>
  <si>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</si>
  <si>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</si>
  <si>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</si>
  <si>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</si>
  <si>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</si>
  <si>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</si>
  <si>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</si>
  <si>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</si>
  <si>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</si>
  <si>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</si>
  <si>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</si>
  <si>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</si>
  <si>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</si>
  <si>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</si>
  <si>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</si>
  <si>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</si>
  <si>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</si>
  <si>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</si>
  <si>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</si>
  <si>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</si>
  <si>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</si>
  <si>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</si>
  <si>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</si>
  <si>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</si>
  <si>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</si>
  <si>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</si>
  <si>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</si>
  <si>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</si>
  <si>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</si>
  <si>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</si>
  <si>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</si>
  <si>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</si>
  <si>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</si>
  <si>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</si>
  <si>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</si>
  <si>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</si>
  <si>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</si>
  <si>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</si>
  <si>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</si>
  <si>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</si>
  <si>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</si>
  <si>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</si>
  <si>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</si>
  <si>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</si>
  <si>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</si>
  <si>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</si>
  <si>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</si>
  <si>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</si>
  <si>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</si>
  <si>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</si>
  <si>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</si>
  <si>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</si>
  <si>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</si>
  <si>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</si>
  <si>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</si>
  <si>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</si>
  <si>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</si>
  <si>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</si>
  <si>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</si>
  <si>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</si>
  <si>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</si>
  <si>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</si>
  <si>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</si>
  <si>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</si>
  <si>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</si>
  <si>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</si>
  <si>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</si>
  <si>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</si>
  <si>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</si>
  <si>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</si>
  <si>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</si>
  <si>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</si>
  <si>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</si>
  <si>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</si>
  <si>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</si>
  <si>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</si>
  <si>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</si>
  <si>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</si>
  <si>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</si>
  <si>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</si>
  <si>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</si>
  <si>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</si>
  <si>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</si>
  <si>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</si>
  <si>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</si>
  <si>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</si>
  <si>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</si>
  <si>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</si>
  <si>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</si>
  <si>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</si>
  <si>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</si>
  <si>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</si>
  <si>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</si>
  <si>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</si>
  <si>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</si>
  <si>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</si>
  <si>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</si>
  <si>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</si>
  <si>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</si>
  <si>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</si>
  <si>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</si>
  <si>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</si>
  <si>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</si>
  <si>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</si>
  <si>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</si>
  <si>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</si>
  <si>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</si>
  <si>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</si>
  <si>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</si>
  <si>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</si>
  <si>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</si>
  <si>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</si>
  <si>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</si>
  <si>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</si>
  <si>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</si>
  <si>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</si>
  <si>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</si>
  <si>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</si>
  <si>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</si>
  <si>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</si>
  <si>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</si>
  <si>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</si>
  <si>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</si>
  <si>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</si>
  <si>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</si>
  <si>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</si>
  <si>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</si>
  <si>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</si>
  <si>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</si>
  <si>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</si>
  <si>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</si>
  <si>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</si>
  <si>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</si>
  <si>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</si>
  <si>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</si>
  <si>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</si>
  <si>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</si>
  <si>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</si>
  <si>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</si>
  <si>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</si>
  <si>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</si>
  <si>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</si>
  <si>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</si>
  <si>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</si>
  <si>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</si>
  <si>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</si>
  <si>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</si>
  <si>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</si>
  <si>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</si>
  <si>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</si>
  <si>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</si>
  <si>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</si>
  <si>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</si>
  <si>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</si>
  <si>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</si>
  <si>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</si>
  <si>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</si>
  <si>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</si>
  <si>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</si>
  <si>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</si>
  <si>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</si>
  <si>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</si>
  <si>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</si>
  <si>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</si>
  <si>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</si>
  <si>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</si>
  <si>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</si>
  <si>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</si>
  <si>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</si>
  <si>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</si>
  <si>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</si>
  <si>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</si>
  <si>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</si>
  <si>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</si>
  <si>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</si>
  <si>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</si>
  <si>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</si>
  <si>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</si>
  <si>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</si>
  <si>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</si>
  <si>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</si>
  <si>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</si>
  <si>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</si>
  <si>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</si>
  <si>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</si>
  <si>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</si>
  <si>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</si>
  <si>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</si>
  <si>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</si>
  <si>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</si>
  <si>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</si>
  <si>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</si>
  <si>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</si>
  <si>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</si>
  <si>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</si>
  <si>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</si>
  <si>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</si>
  <si>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</si>
  <si>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</si>
  <si>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</si>
  <si>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</si>
  <si>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</si>
  <si>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</si>
  <si>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</si>
  <si>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</si>
  <si>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</si>
  <si>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</si>
  <si>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</si>
  <si>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</si>
  <si>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</si>
  <si>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</si>
  <si>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</si>
  <si>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</si>
  <si>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</si>
  <si>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</si>
  <si>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</si>
  <si>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</si>
  <si>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</si>
  <si>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</si>
  <si>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</si>
  <si>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</si>
  <si>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</si>
  <si>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</si>
  <si>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</si>
  <si>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</si>
  <si>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</si>
  <si>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</si>
  <si>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</si>
  <si>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</si>
  <si>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</si>
  <si>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</si>
  <si>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</si>
  <si>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</si>
  <si>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</si>
  <si>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</si>
  <si>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</si>
  <si>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</si>
  <si>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</si>
  <si>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</si>
  <si>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</si>
  <si>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</si>
  <si>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</si>
  <si>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</si>
  <si>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</si>
  <si>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</si>
  <si>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</si>
  <si>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</si>
  <si>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</si>
  <si>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</si>
  <si>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</si>
  <si>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</si>
  <si>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</si>
  <si>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</si>
  <si>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</si>
  <si>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</si>
  <si>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</si>
  <si>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</si>
  <si>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</si>
  <si>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</si>
  <si>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</si>
  <si>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</si>
  <si>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</si>
  <si>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</si>
  <si>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</si>
  <si>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</si>
  <si>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</si>
  <si>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</si>
  <si>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</si>
  <si>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</si>
  <si>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</si>
  <si>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</si>
  <si>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</si>
  <si>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</si>
  <si>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</si>
  <si>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</si>
  <si>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</si>
  <si>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</si>
  <si>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</si>
  <si>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</si>
  <si>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</si>
  <si>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</si>
  <si>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</si>
  <si>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</si>
  <si>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</si>
  <si>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</si>
  <si>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</si>
  <si>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</si>
  <si>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</si>
  <si>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</si>
  <si>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</si>
  <si>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</si>
  <si>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</si>
  <si>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</si>
  <si>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</si>
  <si>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</si>
  <si>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</si>
  <si>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</si>
  <si>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</si>
  <si>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</si>
  <si>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</si>
  <si>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</si>
  <si>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</si>
  <si>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</si>
  <si>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</si>
  <si>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</si>
  <si>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</si>
  <si>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</si>
  <si>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</si>
  <si>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</si>
  <si>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</si>
  <si>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</si>
  <si>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</si>
  <si>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</si>
  <si>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</si>
  <si>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</si>
  <si>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</si>
  <si>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</si>
  <si>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</si>
  <si>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</si>
  <si>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</si>
  <si>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</si>
  <si>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</si>
  <si>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</si>
  <si>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</si>
  <si>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</si>
  <si>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</si>
  <si>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</si>
  <si>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</si>
  <si>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</si>
  <si>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</si>
  <si>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</si>
  <si>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</si>
  <si>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</si>
  <si>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</si>
  <si>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</si>
  <si>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</si>
  <si>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</si>
  <si>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</si>
  <si>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</si>
  <si>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</si>
  <si>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</si>
  <si>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</si>
  <si>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</si>
  <si>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</si>
  <si>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</si>
  <si>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</si>
  <si>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</si>
  <si>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</si>
  <si>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</si>
  <si>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</si>
  <si>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</si>
  <si>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</si>
  <si>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</si>
  <si>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</si>
  <si>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</si>
  <si>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</si>
  <si>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</si>
  <si>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</si>
  <si>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</si>
  <si>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</si>
  <si>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</si>
  <si>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</si>
  <si>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</si>
  <si>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</si>
  <si>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</si>
  <si>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</si>
  <si>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</si>
  <si>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</si>
  <si>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</si>
  <si>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</si>
  <si>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</si>
  <si>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</si>
  <si>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</si>
  <si>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</si>
  <si>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</si>
  <si>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Ширина стены внизу, м - b4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</si>
  <si>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</si>
  <si>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</si>
  <si>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</si>
  <si>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</si>
  <si>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 xml:space="preserve"> Высота ф-та общая , м - H(нач)</t>
  </si>
  <si>
    <t>Герметик Сазиласт, п.м.</t>
  </si>
  <si>
    <t xml:space="preserve"> Высота ф-та общая , м - H(конечн)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</si>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</sst>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54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50" fillId="5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0" fontId="51" fillId="5" borderId="2" xfId="0" applyFont="1" applyFill="1" applyBorder="1" applyAlignment="1">
      <alignment horizontal="center" vertical="center"/>
    </xf>
    <xf numFmtId="165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3" xfId="4" applyFont="1" applyBorder="1" applyAlignment="1">
      <alignment horizontal="center" vertical="center" wrapText="1"/>
    </xf>
    <xf numFmtId="0" fontId="30" fillId="0" borderId="6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</cellXfs>
  <cellStyles count="5">
    <cellStyle name="Обычный" xfId="0" builtinId="0"/>
    <cellStyle name="Обычный 2 2" xfId="1"/>
    <cellStyle name="Обычный 2 3" xfId="2"/>
    <cellStyle name="Обычный 2 4" xfId="3"/>
    <cellStyle name="Обычный_Копия (2) OporaProm_OksN" xfId="4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8</xdr:row>
      <xdr:rowOff>166688</xdr:rowOff>
    </xdr:from>
    <xdr:to>
      <xdr:col>1</xdr:col>
      <xdr:colOff>1738313</xdr:colOff>
      <xdr:row>19</xdr:row>
      <xdr:rowOff>119063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38188" y="2057400"/>
          <a:ext cx="1728787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254"/>
  <sheetViews>
    <sheetView topLeftCell="A4" workbookViewId="0">
      <selection activeCell="C15" sqref="C15"/>
    </sheetView>
  </sheetViews>
  <sheetFormatPr defaultColWidth="8.86328125" defaultRowHeight="13.9" x14ac:dyDescent="0.4"/>
  <cols>
    <col min="1" max="1" width="55.46484375" style="29" customWidth="1"/>
    <col min="2" max="2" width="8.86328125" style="29"/>
    <col min="3" max="3" width="29.46484375" style="38" customWidth="1"/>
    <col min="4" max="4" width="28.86328125" style="29" customWidth="1"/>
    <col min="5" max="16384" width="8.86328125" style="29"/>
  </cols>
  <sheetData>
    <row r="1" spans="1:7" ht="15.4" x14ac:dyDescent="0.4">
      <c r="G1" s="25"/>
    </row>
    <row r="2" spans="1:7" ht="14.25" x14ac:dyDescent="0.4">
      <c r="G2" s="1"/>
    </row>
    <row r="3" spans="1:7" ht="15.4" x14ac:dyDescent="0.4">
      <c r="G3" s="27"/>
    </row>
    <row r="4" spans="1:7" ht="14.65" thickBot="1" x14ac:dyDescent="0.45">
      <c r="G4" s="1"/>
    </row>
    <row r="5" spans="1:7" ht="43.25" customHeight="1" thickBot="1" x14ac:dyDescent="0.45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3" customHeight="1" thickBot="1" x14ac:dyDescent="0.45">
      <c r="A6" s="387" t="s">
        <v>95</v>
      </c>
      <c r="B6" s="387"/>
      <c r="C6" s="387"/>
      <c r="D6" s="387"/>
      <c r="G6" s="24">
        <v>1</v>
      </c>
    </row>
    <row r="7" spans="1:7" ht="23" customHeight="1" thickBot="1" x14ac:dyDescent="0.45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45">
      <c r="C8" s="43" t="s">
        <v>96</v>
      </c>
      <c r="D8" s="32"/>
      <c r="G8" s="24">
        <f>IF(C8=0,0,1)</f>
        <v>1</v>
      </c>
    </row>
    <row r="9" spans="1:7" ht="31.25" customHeight="1" thickBot="1" x14ac:dyDescent="0.45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3" customHeight="1" thickBot="1" x14ac:dyDescent="0.45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3" customHeight="1" thickBot="1" x14ac:dyDescent="0.45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3" customHeight="1" thickBot="1" x14ac:dyDescent="0.45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3" customHeight="1" thickBot="1" x14ac:dyDescent="0.45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3" customHeight="1" thickBot="1" x14ac:dyDescent="0.45">
      <c r="A14" s="387" t="s">
        <v>15</v>
      </c>
      <c r="B14" s="387"/>
      <c r="C14" s="387"/>
      <c r="D14" s="387"/>
      <c r="G14" s="24">
        <v>1</v>
      </c>
    </row>
    <row r="15" spans="1:7" ht="23" customHeight="1" thickBot="1" x14ac:dyDescent="0.45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3" customHeight="1" thickBot="1" x14ac:dyDescent="0.45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3" customHeight="1" thickBot="1" x14ac:dyDescent="0.45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3" customHeight="1" thickBot="1" x14ac:dyDescent="0.45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3" customHeight="1" thickBot="1" x14ac:dyDescent="0.45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3" customHeight="1" thickBot="1" x14ac:dyDescent="0.45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3" customHeight="1" thickBot="1" x14ac:dyDescent="0.45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3" customHeight="1" thickBot="1" x14ac:dyDescent="0.45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3" customHeight="1" thickBot="1" x14ac:dyDescent="0.45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3" customHeight="1" thickBot="1" x14ac:dyDescent="0.45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3" customHeight="1" thickBot="1" x14ac:dyDescent="0.45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3" customHeight="1" thickBot="1" x14ac:dyDescent="0.45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3" customHeight="1" thickBot="1" x14ac:dyDescent="0.45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3" customHeight="1" thickBot="1" x14ac:dyDescent="0.45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3" customHeight="1" thickBot="1" x14ac:dyDescent="0.45">
      <c r="A29" s="387" t="s">
        <v>16</v>
      </c>
      <c r="B29" s="387"/>
      <c r="C29" s="387"/>
      <c r="D29" s="387"/>
      <c r="G29" s="24">
        <v>1</v>
      </c>
    </row>
    <row r="30" spans="1:7" ht="23" customHeight="1" thickBot="1" x14ac:dyDescent="0.45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3" customHeight="1" thickBot="1" x14ac:dyDescent="0.45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3" customHeight="1" thickBot="1" x14ac:dyDescent="0.45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3" customHeight="1" thickBot="1" x14ac:dyDescent="0.45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3" customHeight="1" thickBot="1" x14ac:dyDescent="0.45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3" customHeight="1" thickBot="1" x14ac:dyDescent="0.45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3" customHeight="1" thickBot="1" x14ac:dyDescent="0.45">
      <c r="A36" s="387" t="s">
        <v>17</v>
      </c>
      <c r="B36" s="387"/>
      <c r="C36" s="387"/>
      <c r="D36" s="387"/>
      <c r="G36" s="24">
        <v>1</v>
      </c>
    </row>
    <row r="37" spans="1:7" ht="23" customHeight="1" thickBot="1" x14ac:dyDescent="0.45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3" customHeight="1" thickBot="1" x14ac:dyDescent="0.45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3" customHeight="1" thickBot="1" x14ac:dyDescent="0.45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3" customHeight="1" thickBot="1" x14ac:dyDescent="0.45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3" customHeight="1" thickBot="1" x14ac:dyDescent="0.45">
      <c r="A41" s="387" t="s">
        <v>18</v>
      </c>
      <c r="B41" s="387"/>
      <c r="C41" s="387"/>
      <c r="D41" s="387"/>
      <c r="G41" s="24">
        <v>1</v>
      </c>
    </row>
    <row r="42" spans="1:7" ht="23" customHeight="1" thickBot="1" x14ac:dyDescent="0.45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3" customHeight="1" thickBot="1" x14ac:dyDescent="0.45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3" customHeight="1" thickBot="1" x14ac:dyDescent="0.45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3" customHeight="1" thickBot="1" x14ac:dyDescent="0.45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3" customHeight="1" thickBot="1" x14ac:dyDescent="0.45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3" customHeight="1" thickBot="1" x14ac:dyDescent="0.45">
      <c r="A47" s="387" t="s">
        <v>19</v>
      </c>
      <c r="B47" s="387"/>
      <c r="C47" s="387"/>
      <c r="D47" s="387"/>
      <c r="G47" s="24">
        <v>1</v>
      </c>
    </row>
    <row r="48" spans="1:7" ht="23" customHeight="1" thickBot="1" x14ac:dyDescent="0.45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3" customHeight="1" thickBot="1" x14ac:dyDescent="0.45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3" customHeight="1" thickBot="1" x14ac:dyDescent="0.45">
      <c r="A50" s="387" t="s">
        <v>23</v>
      </c>
      <c r="B50" s="387"/>
      <c r="C50" s="387"/>
      <c r="D50" s="387"/>
      <c r="G50" s="24">
        <v>1</v>
      </c>
    </row>
    <row r="51" spans="1:7" ht="23" customHeight="1" thickBot="1" x14ac:dyDescent="0.45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3" customHeight="1" thickBot="1" x14ac:dyDescent="0.45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3" customHeight="1" thickBot="1" x14ac:dyDescent="0.45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3" customHeight="1" thickBot="1" x14ac:dyDescent="0.45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3" customHeight="1" thickBot="1" x14ac:dyDescent="0.45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3" customHeight="1" x14ac:dyDescent="0.4">
      <c r="A56" s="387" t="s">
        <v>20</v>
      </c>
      <c r="B56" s="387"/>
      <c r="C56" s="387"/>
      <c r="D56" s="387"/>
      <c r="G56" s="24">
        <v>1</v>
      </c>
    </row>
    <row r="57" spans="1:7" ht="23" customHeight="1" x14ac:dyDescent="0.4">
      <c r="C57" s="29"/>
      <c r="G57" s="24">
        <f t="shared" si="0"/>
        <v>0</v>
      </c>
    </row>
    <row r="58" spans="1:7" ht="23" customHeight="1" thickBot="1" x14ac:dyDescent="0.45">
      <c r="A58" s="387" t="s">
        <v>21</v>
      </c>
      <c r="B58" s="387"/>
      <c r="C58" s="387"/>
      <c r="D58" s="387"/>
      <c r="G58" s="24">
        <v>1</v>
      </c>
    </row>
    <row r="59" spans="1:7" ht="23" customHeight="1" thickBot="1" x14ac:dyDescent="0.45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3" customHeight="1" thickBot="1" x14ac:dyDescent="0.45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3" customHeight="1" thickBot="1" x14ac:dyDescent="0.45">
      <c r="A61" s="387" t="s">
        <v>22</v>
      </c>
      <c r="B61" s="387"/>
      <c r="C61" s="387"/>
      <c r="D61" s="387"/>
      <c r="G61" s="24">
        <v>1</v>
      </c>
    </row>
    <row r="62" spans="1:7" ht="23" customHeight="1" thickBot="1" x14ac:dyDescent="0.45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3" customHeight="1" x14ac:dyDescent="0.4">
      <c r="G63" s="24">
        <v>2</v>
      </c>
    </row>
    <row r="64" spans="1:7" ht="23" customHeight="1" x14ac:dyDescent="0.4"/>
    <row r="65" spans="3:3" ht="23" customHeight="1" x14ac:dyDescent="0.4"/>
    <row r="66" spans="3:3" ht="23" customHeight="1" x14ac:dyDescent="0.4">
      <c r="C66" s="29"/>
    </row>
    <row r="67" spans="3:3" ht="23" customHeight="1" x14ac:dyDescent="0.4"/>
    <row r="68" spans="3:3" ht="23" customHeight="1" x14ac:dyDescent="0.4"/>
    <row r="69" spans="3:3" ht="23" customHeight="1" x14ac:dyDescent="0.4"/>
    <row r="70" spans="3:3" ht="23" customHeight="1" x14ac:dyDescent="0.4"/>
    <row r="71" spans="3:3" ht="23" customHeight="1" x14ac:dyDescent="0.4"/>
    <row r="72" spans="3:3" ht="23" customHeight="1" x14ac:dyDescent="0.4"/>
    <row r="73" spans="3:3" ht="23" customHeight="1" x14ac:dyDescent="0.4"/>
    <row r="74" spans="3:3" ht="23" customHeight="1" x14ac:dyDescent="0.4"/>
    <row r="75" spans="3:3" ht="23" customHeight="1" x14ac:dyDescent="0.4"/>
    <row r="76" spans="3:3" ht="23" customHeight="1" x14ac:dyDescent="0.4"/>
    <row r="77" spans="3:3" ht="23" customHeight="1" x14ac:dyDescent="0.4"/>
    <row r="78" spans="3:3" ht="23" customHeight="1" x14ac:dyDescent="0.4"/>
    <row r="79" spans="3:3" ht="23" customHeight="1" x14ac:dyDescent="0.4"/>
    <row r="80" spans="3:3" ht="23" customHeight="1" x14ac:dyDescent="0.4"/>
    <row r="81" ht="23" customHeight="1" x14ac:dyDescent="0.4"/>
    <row r="82" ht="23" customHeight="1" x14ac:dyDescent="0.4"/>
    <row r="83" ht="23" customHeight="1" x14ac:dyDescent="0.4"/>
    <row r="84" ht="23" customHeight="1" x14ac:dyDescent="0.4"/>
    <row r="85" ht="23" customHeight="1" x14ac:dyDescent="0.4"/>
    <row r="86" ht="23" customHeight="1" x14ac:dyDescent="0.4"/>
    <row r="87" ht="23" customHeight="1" x14ac:dyDescent="0.4"/>
    <row r="88" ht="23" customHeight="1" x14ac:dyDescent="0.4"/>
    <row r="89" ht="23" customHeight="1" x14ac:dyDescent="0.4"/>
    <row r="90" ht="23" customHeight="1" x14ac:dyDescent="0.4"/>
    <row r="91" ht="23" customHeight="1" x14ac:dyDescent="0.4"/>
    <row r="92" ht="23" customHeight="1" x14ac:dyDescent="0.4"/>
    <row r="93" ht="23" customHeight="1" x14ac:dyDescent="0.4"/>
    <row r="94" ht="23" customHeight="1" x14ac:dyDescent="0.4"/>
    <row r="95" ht="23" customHeight="1" x14ac:dyDescent="0.4"/>
    <row r="96" ht="23" customHeight="1" x14ac:dyDescent="0.4"/>
    <row r="97" ht="23" customHeight="1" x14ac:dyDescent="0.4"/>
    <row r="98" ht="23" customHeight="1" x14ac:dyDescent="0.4"/>
    <row r="99" ht="23" customHeight="1" x14ac:dyDescent="0.4"/>
    <row r="100" ht="23" customHeight="1" x14ac:dyDescent="0.4"/>
    <row r="101" ht="23" customHeight="1" x14ac:dyDescent="0.4"/>
    <row r="102" ht="23" customHeight="1" x14ac:dyDescent="0.4"/>
    <row r="103" ht="23" customHeight="1" x14ac:dyDescent="0.4"/>
    <row r="104" ht="23" customHeight="1" x14ac:dyDescent="0.4"/>
    <row r="105" ht="23" customHeight="1" x14ac:dyDescent="0.4"/>
    <row r="106" ht="23" customHeight="1" x14ac:dyDescent="0.4"/>
    <row r="107" ht="23" customHeight="1" x14ac:dyDescent="0.4"/>
    <row r="108" ht="23" customHeight="1" x14ac:dyDescent="0.4"/>
    <row r="109" ht="23" customHeight="1" x14ac:dyDescent="0.4"/>
    <row r="110" ht="23" customHeight="1" x14ac:dyDescent="0.4"/>
    <row r="111" ht="23" customHeight="1" x14ac:dyDescent="0.4"/>
    <row r="112" ht="23" customHeight="1" x14ac:dyDescent="0.4"/>
    <row r="113" ht="23" customHeight="1" x14ac:dyDescent="0.4"/>
    <row r="114" ht="23" customHeight="1" x14ac:dyDescent="0.4"/>
    <row r="115" ht="23" customHeight="1" x14ac:dyDescent="0.4"/>
    <row r="116" ht="23" customHeight="1" x14ac:dyDescent="0.4"/>
    <row r="117" ht="23" customHeight="1" x14ac:dyDescent="0.4"/>
    <row r="118" ht="23" customHeight="1" x14ac:dyDescent="0.4"/>
    <row r="119" ht="23" customHeight="1" x14ac:dyDescent="0.4"/>
    <row r="120" ht="23" customHeight="1" x14ac:dyDescent="0.4"/>
    <row r="121" ht="23" customHeight="1" x14ac:dyDescent="0.4"/>
    <row r="122" ht="23" customHeight="1" x14ac:dyDescent="0.4"/>
    <row r="123" ht="23" customHeight="1" x14ac:dyDescent="0.4"/>
    <row r="124" ht="23" customHeight="1" x14ac:dyDescent="0.4"/>
    <row r="125" ht="23" customHeight="1" x14ac:dyDescent="0.4"/>
    <row r="126" ht="23" customHeight="1" x14ac:dyDescent="0.4"/>
    <row r="127" ht="23" customHeight="1" x14ac:dyDescent="0.4"/>
    <row r="128" ht="23" customHeight="1" x14ac:dyDescent="0.4"/>
    <row r="129" ht="23" customHeight="1" x14ac:dyDescent="0.4"/>
    <row r="130" ht="23" customHeight="1" x14ac:dyDescent="0.4"/>
    <row r="131" ht="23" customHeight="1" x14ac:dyDescent="0.4"/>
    <row r="132" ht="23" customHeight="1" x14ac:dyDescent="0.4"/>
    <row r="133" ht="23" customHeight="1" x14ac:dyDescent="0.4"/>
    <row r="134" ht="23" customHeight="1" x14ac:dyDescent="0.4"/>
    <row r="135" ht="23" customHeight="1" x14ac:dyDescent="0.4"/>
    <row r="136" ht="23" customHeight="1" x14ac:dyDescent="0.4"/>
    <row r="137" ht="23" customHeight="1" x14ac:dyDescent="0.4"/>
    <row r="138" ht="23" customHeight="1" x14ac:dyDescent="0.4"/>
    <row r="139" ht="23" customHeight="1" x14ac:dyDescent="0.4"/>
    <row r="140" ht="23" customHeight="1" x14ac:dyDescent="0.4"/>
    <row r="141" ht="23" customHeight="1" x14ac:dyDescent="0.4"/>
    <row r="142" ht="23" customHeight="1" x14ac:dyDescent="0.4"/>
    <row r="143" ht="23" customHeight="1" x14ac:dyDescent="0.4"/>
    <row r="144" ht="23" customHeight="1" x14ac:dyDescent="0.4"/>
    <row r="145" ht="23" customHeight="1" x14ac:dyDescent="0.4"/>
    <row r="146" ht="23" customHeight="1" x14ac:dyDescent="0.4"/>
    <row r="147" ht="23" customHeight="1" x14ac:dyDescent="0.4"/>
    <row r="148" ht="23" customHeight="1" x14ac:dyDescent="0.4"/>
    <row r="149" ht="23" customHeight="1" x14ac:dyDescent="0.4"/>
    <row r="150" ht="23" customHeight="1" x14ac:dyDescent="0.4"/>
    <row r="151" ht="23" customHeight="1" x14ac:dyDescent="0.4"/>
    <row r="152" ht="23" customHeight="1" x14ac:dyDescent="0.4"/>
    <row r="153" ht="23" customHeight="1" x14ac:dyDescent="0.4"/>
    <row r="154" ht="23" customHeight="1" x14ac:dyDescent="0.4"/>
    <row r="155" ht="23" customHeight="1" x14ac:dyDescent="0.4"/>
    <row r="156" ht="23" customHeight="1" x14ac:dyDescent="0.4"/>
    <row r="157" ht="23" customHeight="1" x14ac:dyDescent="0.4"/>
    <row r="158" ht="23" customHeight="1" x14ac:dyDescent="0.4"/>
    <row r="159" ht="23" customHeight="1" x14ac:dyDescent="0.4"/>
    <row r="160" ht="23" customHeight="1" x14ac:dyDescent="0.4"/>
    <row r="161" ht="23" customHeight="1" x14ac:dyDescent="0.4"/>
    <row r="162" ht="23" customHeight="1" x14ac:dyDescent="0.4"/>
    <row r="163" ht="23" customHeight="1" x14ac:dyDescent="0.4"/>
    <row r="164" ht="23" customHeight="1" x14ac:dyDescent="0.4"/>
    <row r="165" ht="23" customHeight="1" x14ac:dyDescent="0.4"/>
    <row r="166" ht="23" customHeight="1" x14ac:dyDescent="0.4"/>
    <row r="167" ht="23" customHeight="1" x14ac:dyDescent="0.4"/>
    <row r="168" ht="23" customHeight="1" x14ac:dyDescent="0.4"/>
    <row r="169" ht="23" customHeight="1" x14ac:dyDescent="0.4"/>
    <row r="170" ht="23" customHeight="1" x14ac:dyDescent="0.4"/>
    <row r="171" ht="23" customHeight="1" x14ac:dyDescent="0.4"/>
    <row r="172" ht="23" customHeight="1" x14ac:dyDescent="0.4"/>
    <row r="173" ht="23" customHeight="1" x14ac:dyDescent="0.4"/>
    <row r="174" ht="23" customHeight="1" x14ac:dyDescent="0.4"/>
    <row r="175" ht="23" customHeight="1" x14ac:dyDescent="0.4"/>
    <row r="176" ht="23" customHeight="1" x14ac:dyDescent="0.4"/>
    <row r="177" ht="23" customHeight="1" x14ac:dyDescent="0.4"/>
    <row r="178" ht="23" customHeight="1" x14ac:dyDescent="0.4"/>
    <row r="179" ht="23" customHeight="1" x14ac:dyDescent="0.4"/>
    <row r="180" ht="23" customHeight="1" x14ac:dyDescent="0.4"/>
    <row r="181" ht="23" customHeight="1" x14ac:dyDescent="0.4"/>
    <row r="182" ht="23" customHeight="1" x14ac:dyDescent="0.4"/>
    <row r="183" ht="23" customHeight="1" x14ac:dyDescent="0.4"/>
    <row r="184" ht="23" customHeight="1" x14ac:dyDescent="0.4"/>
    <row r="185" ht="23" customHeight="1" x14ac:dyDescent="0.4"/>
    <row r="186" ht="23" customHeight="1" x14ac:dyDescent="0.4"/>
    <row r="187" ht="23" customHeight="1" x14ac:dyDescent="0.4"/>
    <row r="188" ht="23" customHeight="1" x14ac:dyDescent="0.4"/>
    <row r="189" ht="23" customHeight="1" x14ac:dyDescent="0.4"/>
    <row r="190" ht="23" customHeight="1" x14ac:dyDescent="0.4"/>
    <row r="191" ht="23" customHeight="1" x14ac:dyDescent="0.4"/>
    <row r="192" ht="23" customHeight="1" x14ac:dyDescent="0.4"/>
    <row r="193" ht="23" customHeight="1" x14ac:dyDescent="0.4"/>
    <row r="194" ht="23" customHeight="1" x14ac:dyDescent="0.4"/>
    <row r="195" ht="23" customHeight="1" x14ac:dyDescent="0.4"/>
    <row r="196" ht="23" customHeight="1" x14ac:dyDescent="0.4"/>
    <row r="197" ht="23" customHeight="1" x14ac:dyDescent="0.4"/>
    <row r="198" ht="23" customHeight="1" x14ac:dyDescent="0.4"/>
    <row r="199" ht="23" customHeight="1" x14ac:dyDescent="0.4"/>
    <row r="200" ht="23" customHeight="1" x14ac:dyDescent="0.4"/>
    <row r="201" ht="23" customHeight="1" x14ac:dyDescent="0.4"/>
    <row r="202" ht="23" customHeight="1" x14ac:dyDescent="0.4"/>
    <row r="203" ht="23" customHeight="1" x14ac:dyDescent="0.4"/>
    <row r="204" ht="23" customHeight="1" x14ac:dyDescent="0.4"/>
    <row r="205" ht="23" customHeight="1" x14ac:dyDescent="0.4"/>
    <row r="206" ht="23" customHeight="1" x14ac:dyDescent="0.4"/>
    <row r="207" ht="23" customHeight="1" x14ac:dyDescent="0.4"/>
    <row r="208" ht="23" customHeight="1" x14ac:dyDescent="0.4"/>
    <row r="209" ht="23" customHeight="1" x14ac:dyDescent="0.4"/>
    <row r="210" ht="23" customHeight="1" x14ac:dyDescent="0.4"/>
    <row r="211" ht="23" customHeight="1" x14ac:dyDescent="0.4"/>
    <row r="212" ht="23" customHeight="1" x14ac:dyDescent="0.4"/>
    <row r="213" ht="23" customHeight="1" x14ac:dyDescent="0.4"/>
    <row r="214" ht="23" customHeight="1" x14ac:dyDescent="0.4"/>
    <row r="215" ht="23" customHeight="1" x14ac:dyDescent="0.4"/>
    <row r="216" ht="23" customHeight="1" x14ac:dyDescent="0.4"/>
    <row r="217" ht="23" customHeight="1" x14ac:dyDescent="0.4"/>
    <row r="218" ht="23" customHeight="1" x14ac:dyDescent="0.4"/>
    <row r="219" ht="23" customHeight="1" x14ac:dyDescent="0.4"/>
    <row r="220" ht="23" customHeight="1" x14ac:dyDescent="0.4"/>
    <row r="221" ht="23" customHeight="1" x14ac:dyDescent="0.4"/>
    <row r="222" ht="23" customHeight="1" x14ac:dyDescent="0.4"/>
    <row r="223" ht="23" customHeight="1" x14ac:dyDescent="0.4"/>
    <row r="224" ht="23" customHeight="1" x14ac:dyDescent="0.4"/>
    <row r="225" ht="23" customHeight="1" x14ac:dyDescent="0.4"/>
    <row r="226" ht="23" customHeight="1" x14ac:dyDescent="0.4"/>
    <row r="227" ht="23" customHeight="1" x14ac:dyDescent="0.4"/>
    <row r="228" ht="23" customHeight="1" x14ac:dyDescent="0.4"/>
    <row r="229" ht="23" customHeight="1" x14ac:dyDescent="0.4"/>
    <row r="230" ht="23" customHeight="1" x14ac:dyDescent="0.4"/>
    <row r="231" ht="23" customHeight="1" x14ac:dyDescent="0.4"/>
    <row r="232" ht="23" customHeight="1" x14ac:dyDescent="0.4"/>
    <row r="233" ht="23" customHeight="1" x14ac:dyDescent="0.4"/>
    <row r="234" ht="23" customHeight="1" x14ac:dyDescent="0.4"/>
    <row r="235" ht="23" customHeight="1" x14ac:dyDescent="0.4"/>
    <row r="236" ht="23" customHeight="1" x14ac:dyDescent="0.4"/>
    <row r="237" ht="23" customHeight="1" x14ac:dyDescent="0.4"/>
    <row r="238" ht="23" customHeight="1" x14ac:dyDescent="0.4"/>
    <row r="239" ht="23" customHeight="1" x14ac:dyDescent="0.4"/>
    <row r="240" ht="23" customHeight="1" x14ac:dyDescent="0.4"/>
    <row r="241" ht="23" customHeight="1" x14ac:dyDescent="0.4"/>
    <row r="242" ht="23" customHeight="1" x14ac:dyDescent="0.4"/>
    <row r="243" ht="23" customHeight="1" x14ac:dyDescent="0.4"/>
    <row r="244" ht="23" customHeight="1" x14ac:dyDescent="0.4"/>
    <row r="245" ht="23" customHeight="1" x14ac:dyDescent="0.4"/>
    <row r="246" ht="23" customHeight="1" x14ac:dyDescent="0.4"/>
    <row r="247" ht="23" customHeight="1" x14ac:dyDescent="0.4"/>
    <row r="248" ht="23" customHeight="1" x14ac:dyDescent="0.4"/>
    <row r="249" ht="23" customHeight="1" x14ac:dyDescent="0.4"/>
    <row r="250" ht="23" customHeight="1" x14ac:dyDescent="0.4"/>
    <row r="251" ht="23" customHeight="1" x14ac:dyDescent="0.4"/>
    <row r="252" ht="23" customHeight="1" x14ac:dyDescent="0.4"/>
    <row r="253" ht="23" customHeight="1" x14ac:dyDescent="0.4"/>
    <row r="254" ht="23" customHeight="1" x14ac:dyDescent="0.4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1:H161"/>
  <sheetViews>
    <sheetView topLeftCell="A70" workbookViewId="0">
      <selection activeCell="B94" sqref="B94"/>
    </sheetView>
  </sheetViews>
  <sheetFormatPr defaultColWidth="8.86328125" defaultRowHeight="13.15" x14ac:dyDescent="0.4"/>
  <cols>
    <col min="1" max="1" width="8.86328125" style="64"/>
    <col min="2" max="2" width="66.46484375" style="64" customWidth="1"/>
    <col min="3" max="4" width="8.86328125" style="64"/>
    <col min="5" max="5" width="8.86328125" style="64" hidden="1" customWidth="1"/>
    <col min="6" max="6" width="0" style="64" hidden="1" customWidth="1"/>
    <col min="7" max="7" width="8.86328125" style="64"/>
    <col min="8" max="8" width="8.86328125" style="65"/>
    <col min="9" max="16384" width="8.86328125" style="64"/>
  </cols>
  <sheetData>
    <row r="1" spans="2:4" ht="18" hidden="1" customHeight="1" x14ac:dyDescent="0.4"/>
    <row r="2" spans="2:4" ht="18" hidden="1" customHeight="1" x14ac:dyDescent="0.4"/>
    <row r="3" spans="2:4" ht="18" customHeight="1" x14ac:dyDescent="0.4"/>
    <row r="4" spans="2:4" s="65" customFormat="1" ht="29" customHeight="1" x14ac:dyDescent="0.45">
      <c r="B4" s="388" t="s">
        <v>148</v>
      </c>
      <c r="C4" s="389"/>
      <c r="D4" s="390"/>
    </row>
    <row r="5" spans="2:4" s="65" customFormat="1" ht="18" customHeight="1" thickBot="1" x14ac:dyDescent="0.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45">
      <c r="B6" s="98" t="s">
        <v>0</v>
      </c>
      <c r="C6" s="95"/>
      <c r="D6" s="96"/>
    </row>
    <row r="7" spans="2:4" s="65" customFormat="1" ht="18" customHeight="1" x14ac:dyDescent="0.45">
      <c r="B7" s="391" t="s">
        <v>152</v>
      </c>
      <c r="C7" s="69" t="s">
        <v>153</v>
      </c>
      <c r="D7" s="87">
        <v>1</v>
      </c>
    </row>
    <row r="8" spans="2:4" s="65" customFormat="1" ht="18" customHeight="1" x14ac:dyDescent="0.45">
      <c r="B8" s="392"/>
      <c r="C8" s="71" t="s">
        <v>154</v>
      </c>
      <c r="D8" s="87">
        <v>1</v>
      </c>
    </row>
    <row r="9" spans="2:4" s="65" customFormat="1" ht="18" customHeight="1" x14ac:dyDescent="0.45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45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45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45">
      <c r="B12" s="393" t="s">
        <v>160</v>
      </c>
      <c r="C12" s="71" t="s">
        <v>159</v>
      </c>
      <c r="D12" s="87">
        <v>1</v>
      </c>
    </row>
    <row r="13" spans="2:4" s="65" customFormat="1" ht="18" customHeight="1" x14ac:dyDescent="0.45">
      <c r="B13" s="393"/>
      <c r="C13" s="71" t="s">
        <v>156</v>
      </c>
      <c r="D13" s="87">
        <v>1</v>
      </c>
    </row>
    <row r="14" spans="2:4" s="65" customFormat="1" ht="18" customHeight="1" x14ac:dyDescent="0.45">
      <c r="B14" s="392" t="s">
        <v>161</v>
      </c>
      <c r="C14" s="71" t="s">
        <v>153</v>
      </c>
      <c r="D14" s="87">
        <v>1</v>
      </c>
    </row>
    <row r="15" spans="2:4" s="65" customFormat="1" ht="18" customHeight="1" x14ac:dyDescent="0.45">
      <c r="B15" s="392"/>
      <c r="C15" s="71" t="s">
        <v>162</v>
      </c>
      <c r="D15" s="87">
        <v>1</v>
      </c>
    </row>
    <row r="16" spans="2:4" s="65" customFormat="1" ht="18" customHeight="1" x14ac:dyDescent="0.45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45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45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45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45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45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45">
      <c r="B22" s="99" t="s">
        <v>169</v>
      </c>
      <c r="C22" s="82"/>
      <c r="D22" s="97"/>
    </row>
    <row r="23" spans="2:4" s="65" customFormat="1" ht="18" customHeight="1" x14ac:dyDescent="0.45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45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45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45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45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45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45"/>
    <row r="31" spans="2:4" s="65" customFormat="1" ht="18" hidden="1" customHeight="1" x14ac:dyDescent="0.45"/>
    <row r="32" spans="2:4" s="65" customFormat="1" ht="18" hidden="1" customHeight="1" x14ac:dyDescent="0.45"/>
    <row r="33" spans="2:4" s="65" customFormat="1" ht="18" hidden="1" customHeight="1" x14ac:dyDescent="0.45"/>
    <row r="34" spans="2:4" s="65" customFormat="1" ht="18" hidden="1" customHeight="1" x14ac:dyDescent="0.45"/>
    <row r="35" spans="2:4" s="65" customFormat="1" ht="18" hidden="1" customHeight="1" x14ac:dyDescent="0.45"/>
    <row r="36" spans="2:4" s="65" customFormat="1" ht="18" hidden="1" customHeight="1" x14ac:dyDescent="0.45"/>
    <row r="37" spans="2:4" s="65" customFormat="1" ht="18" hidden="1" customHeight="1" x14ac:dyDescent="0.45"/>
    <row r="38" spans="2:4" s="65" customFormat="1" ht="18" hidden="1" customHeight="1" x14ac:dyDescent="0.45"/>
    <row r="39" spans="2:4" s="65" customFormat="1" ht="18" hidden="1" customHeight="1" x14ac:dyDescent="0.45"/>
    <row r="40" spans="2:4" s="65" customFormat="1" ht="18" hidden="1" customHeight="1" x14ac:dyDescent="0.45"/>
    <row r="41" spans="2:4" s="65" customFormat="1" ht="18" hidden="1" customHeight="1" x14ac:dyDescent="0.45"/>
    <row r="42" spans="2:4" s="65" customFormat="1" ht="18" hidden="1" customHeight="1" x14ac:dyDescent="0.45"/>
    <row r="43" spans="2:4" s="65" customFormat="1" ht="18" hidden="1" customHeight="1" x14ac:dyDescent="0.45"/>
    <row r="44" spans="2:4" s="65" customFormat="1" ht="18" hidden="1" customHeight="1" x14ac:dyDescent="0.45"/>
    <row r="45" spans="2:4" s="65" customFormat="1" ht="18" hidden="1" customHeight="1" x14ac:dyDescent="0.45"/>
    <row r="46" spans="2:4" s="65" customFormat="1" ht="18" customHeight="1" x14ac:dyDescent="0.45"/>
    <row r="47" spans="2:4" s="65" customFormat="1" ht="18" customHeight="1" x14ac:dyDescent="0.45"/>
    <row r="48" spans="2:4" s="65" customFormat="1" ht="18" customHeight="1" x14ac:dyDescent="0.45">
      <c r="B48" s="388" t="s">
        <v>148</v>
      </c>
      <c r="C48" s="389"/>
      <c r="D48" s="389"/>
    </row>
    <row r="49" spans="2:4" s="65" customFormat="1" ht="18" customHeight="1" x14ac:dyDescent="0.45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45">
      <c r="B50" s="67" t="s">
        <v>177</v>
      </c>
      <c r="C50" s="81"/>
      <c r="D50" s="82"/>
    </row>
    <row r="51" spans="2:4" s="65" customFormat="1" ht="18" customHeight="1" x14ac:dyDescent="0.45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45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45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45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45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45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45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45">
      <c r="B58" s="76" t="s">
        <v>178</v>
      </c>
      <c r="C58" s="77" t="s">
        <v>159</v>
      </c>
      <c r="D58" s="73"/>
    </row>
    <row r="59" spans="2:4" s="65" customFormat="1" ht="18" customHeight="1" x14ac:dyDescent="0.45">
      <c r="B59" s="80" t="s">
        <v>179</v>
      </c>
      <c r="C59" s="82"/>
      <c r="D59" s="85"/>
    </row>
    <row r="60" spans="2:4" s="65" customFormat="1" ht="18" customHeight="1" x14ac:dyDescent="0.45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45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45">
      <c r="B62" s="75" t="s">
        <v>180</v>
      </c>
      <c r="C62" s="71" t="s">
        <v>156</v>
      </c>
      <c r="D62" s="72"/>
    </row>
    <row r="63" spans="2:4" s="65" customFormat="1" ht="18" customHeight="1" x14ac:dyDescent="0.45">
      <c r="B63" s="75" t="s">
        <v>181</v>
      </c>
      <c r="C63" s="71" t="s">
        <v>156</v>
      </c>
      <c r="D63" s="72"/>
    </row>
    <row r="64" spans="2:4" s="65" customFormat="1" ht="18" customHeight="1" x14ac:dyDescent="0.45">
      <c r="B64" s="75" t="s">
        <v>182</v>
      </c>
      <c r="C64" s="71" t="s">
        <v>159</v>
      </c>
      <c r="D64" s="72"/>
    </row>
    <row r="65" spans="2:4" s="65" customFormat="1" ht="18" customHeight="1" x14ac:dyDescent="0.45">
      <c r="B65" s="75" t="s">
        <v>183</v>
      </c>
      <c r="C65" s="71" t="s">
        <v>159</v>
      </c>
      <c r="D65" s="72"/>
    </row>
    <row r="66" spans="2:4" s="65" customFormat="1" ht="18" customHeight="1" x14ac:dyDescent="0.45">
      <c r="B66" s="75" t="s">
        <v>184</v>
      </c>
      <c r="C66" s="71" t="s">
        <v>159</v>
      </c>
      <c r="D66" s="72"/>
    </row>
    <row r="67" spans="2:4" s="65" customFormat="1" ht="18" customHeight="1" x14ac:dyDescent="0.45">
      <c r="B67" s="75" t="s">
        <v>185</v>
      </c>
      <c r="C67" s="71" t="s">
        <v>159</v>
      </c>
      <c r="D67" s="72"/>
    </row>
    <row r="68" spans="2:4" s="65" customFormat="1" ht="18" customHeight="1" x14ac:dyDescent="0.45">
      <c r="B68" s="75" t="s">
        <v>186</v>
      </c>
      <c r="C68" s="71" t="s">
        <v>156</v>
      </c>
      <c r="D68" s="72"/>
    </row>
    <row r="69" spans="2:4" s="65" customFormat="1" ht="18" customHeight="1" x14ac:dyDescent="0.45">
      <c r="B69" s="76" t="s">
        <v>187</v>
      </c>
      <c r="C69" s="77" t="s">
        <v>154</v>
      </c>
      <c r="D69" s="73"/>
    </row>
    <row r="70" spans="2:4" s="65" customFormat="1" ht="18" customHeight="1" x14ac:dyDescent="0.45"/>
    <row r="71" spans="2:4" s="65" customFormat="1" ht="18" hidden="1" customHeight="1" x14ac:dyDescent="0.45"/>
    <row r="72" spans="2:4" s="65" customFormat="1" ht="18" hidden="1" customHeight="1" x14ac:dyDescent="0.45"/>
    <row r="73" spans="2:4" s="65" customFormat="1" ht="18" hidden="1" customHeight="1" x14ac:dyDescent="0.45"/>
    <row r="74" spans="2:4" s="65" customFormat="1" ht="19.25" hidden="1" customHeight="1" x14ac:dyDescent="0.45"/>
    <row r="75" spans="2:4" s="65" customFormat="1" ht="18" customHeight="1" x14ac:dyDescent="0.45"/>
    <row r="76" spans="2:4" ht="18" customHeight="1" x14ac:dyDescent="0.4"/>
    <row r="77" spans="2:4" ht="18" customHeight="1" x14ac:dyDescent="0.4"/>
    <row r="78" spans="2:4" ht="18" customHeight="1" x14ac:dyDescent="0.4"/>
    <row r="79" spans="2:4" ht="18" customHeight="1" x14ac:dyDescent="0.4">
      <c r="B79" s="388" t="s">
        <v>148</v>
      </c>
      <c r="C79" s="389"/>
      <c r="D79" s="389"/>
    </row>
    <row r="80" spans="2:4" ht="18" customHeight="1" x14ac:dyDescent="0.4">
      <c r="B80" s="66" t="s">
        <v>149</v>
      </c>
      <c r="C80" s="67" t="s">
        <v>150</v>
      </c>
      <c r="D80" s="68" t="s">
        <v>151</v>
      </c>
    </row>
    <row r="81" spans="2:4" ht="18" customHeight="1" x14ac:dyDescent="0.4">
      <c r="B81" s="67" t="s">
        <v>188</v>
      </c>
      <c r="C81" s="81"/>
      <c r="D81" s="67"/>
    </row>
    <row r="82" spans="2:4" ht="18" customHeight="1" x14ac:dyDescent="0.4">
      <c r="B82" s="74" t="e">
        <f>свая.тип</f>
        <v>#NAME?</v>
      </c>
      <c r="C82" s="69" t="s">
        <v>109</v>
      </c>
      <c r="D82" s="70"/>
    </row>
    <row r="83" spans="2:4" ht="18" customHeight="1" x14ac:dyDescent="0.4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4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4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4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4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4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4">
      <c r="B89" s="76" t="s">
        <v>178</v>
      </c>
      <c r="C89" s="77" t="s">
        <v>159</v>
      </c>
      <c r="D89" s="73"/>
    </row>
    <row r="90" spans="2:4" ht="18" customHeight="1" x14ac:dyDescent="0.4">
      <c r="B90" s="80" t="s">
        <v>179</v>
      </c>
      <c r="C90" s="82"/>
      <c r="D90" s="82"/>
    </row>
    <row r="91" spans="2:4" ht="18" customHeight="1" x14ac:dyDescent="0.4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4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4">
      <c r="B93" s="75" t="s">
        <v>180</v>
      </c>
      <c r="C93" s="71" t="s">
        <v>156</v>
      </c>
      <c r="D93" s="72"/>
    </row>
    <row r="94" spans="2:4" ht="18" customHeight="1" x14ac:dyDescent="0.4">
      <c r="B94" s="75" t="s">
        <v>181</v>
      </c>
      <c r="C94" s="71" t="s">
        <v>156</v>
      </c>
      <c r="D94" s="72"/>
    </row>
    <row r="95" spans="2:4" ht="18" customHeight="1" x14ac:dyDescent="0.4">
      <c r="B95" s="75" t="s">
        <v>182</v>
      </c>
      <c r="C95" s="71" t="s">
        <v>159</v>
      </c>
      <c r="D95" s="72"/>
    </row>
    <row r="96" spans="2:4" ht="18" customHeight="1" x14ac:dyDescent="0.4">
      <c r="B96" s="75" t="s">
        <v>183</v>
      </c>
      <c r="C96" s="71" t="s">
        <v>159</v>
      </c>
      <c r="D96" s="72"/>
    </row>
    <row r="97" spans="2:4" ht="18" customHeight="1" x14ac:dyDescent="0.4">
      <c r="B97" s="75" t="s">
        <v>184</v>
      </c>
      <c r="C97" s="71" t="s">
        <v>159</v>
      </c>
      <c r="D97" s="72"/>
    </row>
    <row r="98" spans="2:4" ht="18" customHeight="1" x14ac:dyDescent="0.4">
      <c r="B98" s="75" t="s">
        <v>185</v>
      </c>
      <c r="C98" s="71" t="s">
        <v>159</v>
      </c>
      <c r="D98" s="72"/>
    </row>
    <row r="99" spans="2:4" ht="18" customHeight="1" x14ac:dyDescent="0.4">
      <c r="B99" s="75" t="s">
        <v>186</v>
      </c>
      <c r="C99" s="71" t="s">
        <v>156</v>
      </c>
      <c r="D99" s="72"/>
    </row>
    <row r="100" spans="2:4" ht="18" customHeight="1" x14ac:dyDescent="0.4">
      <c r="B100" s="76" t="s">
        <v>187</v>
      </c>
      <c r="C100" s="77" t="s">
        <v>154</v>
      </c>
      <c r="D100" s="73"/>
    </row>
    <row r="101" spans="2:4" ht="18" customHeight="1" x14ac:dyDescent="0.4"/>
    <row r="102" spans="2:4" ht="18" customHeight="1" x14ac:dyDescent="0.4"/>
    <row r="103" spans="2:4" ht="18" customHeight="1" x14ac:dyDescent="0.4"/>
    <row r="104" spans="2:4" ht="18" customHeight="1" x14ac:dyDescent="0.4"/>
    <row r="105" spans="2:4" ht="18" customHeight="1" x14ac:dyDescent="0.4"/>
    <row r="106" spans="2:4" ht="18" customHeight="1" x14ac:dyDescent="0.4"/>
    <row r="107" spans="2:4" ht="18" customHeight="1" x14ac:dyDescent="0.4"/>
    <row r="108" spans="2:4" ht="18" customHeight="1" x14ac:dyDescent="0.4"/>
    <row r="109" spans="2:4" ht="18" customHeight="1" x14ac:dyDescent="0.4"/>
    <row r="110" spans="2:4" ht="18" customHeight="1" x14ac:dyDescent="0.4"/>
    <row r="111" spans="2:4" ht="18" customHeight="1" x14ac:dyDescent="0.4"/>
    <row r="112" spans="2:4" ht="18" customHeight="1" x14ac:dyDescent="0.4"/>
    <row r="113" ht="18" customHeight="1" x14ac:dyDescent="0.4"/>
    <row r="114" ht="18" customHeight="1" x14ac:dyDescent="0.4"/>
    <row r="115" ht="18" customHeight="1" x14ac:dyDescent="0.4"/>
    <row r="116" ht="18" customHeight="1" x14ac:dyDescent="0.4"/>
    <row r="117" ht="18" customHeight="1" x14ac:dyDescent="0.4"/>
    <row r="118" ht="18" customHeight="1" x14ac:dyDescent="0.4"/>
    <row r="119" ht="18" customHeight="1" x14ac:dyDescent="0.4"/>
    <row r="120" ht="18" customHeight="1" x14ac:dyDescent="0.4"/>
    <row r="121" ht="18" customHeight="1" x14ac:dyDescent="0.4"/>
    <row r="122" ht="18" customHeight="1" x14ac:dyDescent="0.4"/>
    <row r="123" ht="18" customHeight="1" x14ac:dyDescent="0.4"/>
    <row r="124" ht="18" customHeight="1" x14ac:dyDescent="0.4"/>
    <row r="125" ht="18" customHeight="1" x14ac:dyDescent="0.4"/>
    <row r="126" ht="18" customHeight="1" x14ac:dyDescent="0.4"/>
    <row r="127" ht="18" customHeight="1" x14ac:dyDescent="0.4"/>
    <row r="128" ht="18" customHeight="1" x14ac:dyDescent="0.4"/>
    <row r="129" ht="18" customHeight="1" x14ac:dyDescent="0.4"/>
    <row r="130" ht="18" customHeight="1" x14ac:dyDescent="0.4"/>
    <row r="131" ht="18" customHeight="1" x14ac:dyDescent="0.4"/>
    <row r="132" ht="18" customHeight="1" x14ac:dyDescent="0.4"/>
    <row r="133" ht="18" customHeight="1" x14ac:dyDescent="0.4"/>
    <row r="134" ht="18" customHeight="1" x14ac:dyDescent="0.4"/>
    <row r="135" ht="18" customHeight="1" x14ac:dyDescent="0.4"/>
    <row r="136" ht="18" customHeight="1" x14ac:dyDescent="0.4"/>
    <row r="137" ht="18" customHeight="1" x14ac:dyDescent="0.4"/>
    <row r="138" ht="18" customHeight="1" x14ac:dyDescent="0.4"/>
    <row r="139" ht="18" customHeight="1" x14ac:dyDescent="0.4"/>
    <row r="140" ht="18" customHeight="1" x14ac:dyDescent="0.4"/>
    <row r="141" ht="18" customHeight="1" x14ac:dyDescent="0.4"/>
    <row r="142" ht="18" customHeight="1" x14ac:dyDescent="0.4"/>
    <row r="143" ht="18" customHeight="1" x14ac:dyDescent="0.4"/>
    <row r="144" ht="18" customHeight="1" x14ac:dyDescent="0.4"/>
    <row r="145" ht="18" customHeight="1" x14ac:dyDescent="0.4"/>
    <row r="146" ht="18" customHeight="1" x14ac:dyDescent="0.4"/>
    <row r="147" ht="18" customHeight="1" x14ac:dyDescent="0.4"/>
    <row r="148" ht="18" customHeight="1" x14ac:dyDescent="0.4"/>
    <row r="149" ht="18" customHeight="1" x14ac:dyDescent="0.4"/>
    <row r="150" ht="18" customHeight="1" x14ac:dyDescent="0.4"/>
    <row r="151" ht="18" customHeight="1" x14ac:dyDescent="0.4"/>
    <row r="152" ht="18" customHeight="1" x14ac:dyDescent="0.4"/>
    <row r="153" ht="18" customHeight="1" x14ac:dyDescent="0.4"/>
    <row r="154" ht="18" customHeight="1" x14ac:dyDescent="0.4"/>
    <row r="155" ht="18" customHeight="1" x14ac:dyDescent="0.4"/>
    <row r="156" ht="18" customHeight="1" x14ac:dyDescent="0.4"/>
    <row r="157" ht="18" customHeight="1" x14ac:dyDescent="0.4"/>
    <row r="158" ht="18" customHeight="1" x14ac:dyDescent="0.4"/>
    <row r="159" ht="18" customHeight="1" x14ac:dyDescent="0.4"/>
    <row r="160" ht="18" customHeight="1" x14ac:dyDescent="0.4"/>
    <row r="161" ht="18" customHeight="1" x14ac:dyDescent="0.4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77"/>
  <sheetViews>
    <sheetView workbookViewId="0">
      <selection activeCell="B2" sqref="B2:B8"/>
    </sheetView>
  </sheetViews>
  <sheetFormatPr defaultRowHeight="14.25" x14ac:dyDescent="0.45"/>
  <cols>
    <col min="1" max="1" width="13.46484375" customWidth="1"/>
    <col min="2" max="2" width="47.86328125" customWidth="1"/>
    <col min="3" max="4" width="13.1328125" bestFit="1" customWidth="1"/>
  </cols>
  <sheetData>
    <row r="1" spans="1:4" ht="28.9" thickBot="1" x14ac:dyDescent="0.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45">
      <c r="A2" s="394" t="s">
        <v>255</v>
      </c>
      <c r="B2" s="177" t="s">
        <v>386</v>
      </c>
      <c r="C2" s="5">
        <v>1</v>
      </c>
      <c r="D2" s="6">
        <v>1</v>
      </c>
    </row>
    <row r="3" spans="1:4" x14ac:dyDescent="0.45">
      <c r="A3" s="395"/>
      <c r="B3" s="172" t="s">
        <v>387</v>
      </c>
      <c r="C3" s="1">
        <v>2</v>
      </c>
      <c r="D3" s="8">
        <v>1</v>
      </c>
    </row>
    <row r="4" spans="1:4" x14ac:dyDescent="0.45">
      <c r="A4" s="395"/>
      <c r="B4" s="172" t="s">
        <v>286</v>
      </c>
      <c r="C4" s="1">
        <v>2</v>
      </c>
      <c r="D4" s="8">
        <v>1</v>
      </c>
    </row>
    <row r="5" spans="1:4" x14ac:dyDescent="0.45">
      <c r="A5" s="395"/>
      <c r="B5" s="172" t="s">
        <v>287</v>
      </c>
      <c r="C5" s="1">
        <v>2</v>
      </c>
      <c r="D5" s="8">
        <v>2</v>
      </c>
    </row>
    <row r="6" spans="1:4" x14ac:dyDescent="0.45">
      <c r="A6" s="395"/>
      <c r="B6" s="172" t="s">
        <v>288</v>
      </c>
      <c r="C6" s="1">
        <v>2</v>
      </c>
      <c r="D6" s="8">
        <v>3</v>
      </c>
    </row>
    <row r="7" spans="1:4" x14ac:dyDescent="0.45">
      <c r="A7" s="395"/>
      <c r="B7" s="172" t="s">
        <v>290</v>
      </c>
      <c r="C7" s="1">
        <v>2</v>
      </c>
      <c r="D7" s="8">
        <v>4</v>
      </c>
    </row>
    <row r="8" spans="1:4" ht="14.65" thickBot="1" x14ac:dyDescent="0.5">
      <c r="A8" s="396"/>
      <c r="B8" s="178" t="s">
        <v>289</v>
      </c>
      <c r="C8" s="12">
        <v>2</v>
      </c>
      <c r="D8" s="13">
        <v>5</v>
      </c>
    </row>
    <row r="9" spans="1:4" x14ac:dyDescent="0.45">
      <c r="A9" s="394" t="s">
        <v>256</v>
      </c>
      <c r="B9" s="177" t="s">
        <v>209</v>
      </c>
      <c r="C9" s="5">
        <v>1</v>
      </c>
      <c r="D9" s="6">
        <v>1</v>
      </c>
    </row>
    <row r="10" spans="1:4" x14ac:dyDescent="0.45">
      <c r="A10" s="395"/>
      <c r="B10" s="172" t="s">
        <v>276</v>
      </c>
      <c r="C10" s="1">
        <v>1</v>
      </c>
      <c r="D10" s="8">
        <v>2</v>
      </c>
    </row>
    <row r="11" spans="1:4" x14ac:dyDescent="0.45">
      <c r="A11" s="395"/>
      <c r="B11" s="172" t="s">
        <v>275</v>
      </c>
      <c r="C11" s="1">
        <v>2</v>
      </c>
      <c r="D11" s="8">
        <v>2</v>
      </c>
    </row>
    <row r="12" spans="1:4" x14ac:dyDescent="0.45">
      <c r="A12" s="395"/>
      <c r="B12" s="172" t="s">
        <v>274</v>
      </c>
      <c r="C12" s="1">
        <v>2</v>
      </c>
      <c r="D12" s="8">
        <v>3</v>
      </c>
    </row>
    <row r="13" spans="1:4" x14ac:dyDescent="0.45">
      <c r="A13" s="395"/>
      <c r="B13" s="172" t="s">
        <v>257</v>
      </c>
      <c r="C13" s="1">
        <v>2</v>
      </c>
      <c r="D13" s="8">
        <v>3</v>
      </c>
    </row>
    <row r="14" spans="1:4" ht="14.65" thickBot="1" x14ac:dyDescent="0.5">
      <c r="A14" s="396"/>
      <c r="B14" s="178" t="s">
        <v>258</v>
      </c>
      <c r="C14" s="12">
        <v>2</v>
      </c>
      <c r="D14" s="13">
        <v>4</v>
      </c>
    </row>
    <row r="15" spans="1:4" x14ac:dyDescent="0.45">
      <c r="A15" s="394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45">
      <c r="A16" s="395"/>
      <c r="B16" s="172" t="s">
        <v>278</v>
      </c>
      <c r="C16" s="1">
        <v>1</v>
      </c>
      <c r="D16" s="8">
        <v>2</v>
      </c>
    </row>
    <row r="17" spans="1:4" ht="14.25" customHeight="1" x14ac:dyDescent="0.45">
      <c r="A17" s="395"/>
      <c r="B17" s="172" t="s">
        <v>277</v>
      </c>
      <c r="C17" s="1">
        <v>2</v>
      </c>
      <c r="D17" s="8">
        <v>2</v>
      </c>
    </row>
    <row r="18" spans="1:4" x14ac:dyDescent="0.45">
      <c r="A18" s="395"/>
      <c r="B18" s="172" t="s">
        <v>260</v>
      </c>
      <c r="C18" s="1">
        <v>2</v>
      </c>
      <c r="D18" s="8">
        <v>3</v>
      </c>
    </row>
    <row r="19" spans="1:4" x14ac:dyDescent="0.45">
      <c r="A19" s="395"/>
      <c r="B19" s="172" t="s">
        <v>261</v>
      </c>
      <c r="C19" s="1">
        <v>2</v>
      </c>
      <c r="D19" s="8">
        <v>3</v>
      </c>
    </row>
    <row r="20" spans="1:4" x14ac:dyDescent="0.45">
      <c r="A20" s="395"/>
      <c r="B20" s="172" t="s">
        <v>262</v>
      </c>
      <c r="C20" s="1">
        <v>2</v>
      </c>
      <c r="D20" s="8">
        <v>4</v>
      </c>
    </row>
    <row r="21" spans="1:4" x14ac:dyDescent="0.45">
      <c r="A21" s="395"/>
      <c r="B21" s="172" t="s">
        <v>263</v>
      </c>
      <c r="C21" s="1">
        <v>2</v>
      </c>
      <c r="D21" s="8">
        <v>4</v>
      </c>
    </row>
    <row r="22" spans="1:4" ht="14.65" thickBot="1" x14ac:dyDescent="0.5">
      <c r="A22" s="396"/>
      <c r="B22" s="178" t="s">
        <v>264</v>
      </c>
      <c r="C22" s="12">
        <v>2</v>
      </c>
      <c r="D22" s="13">
        <v>5</v>
      </c>
    </row>
    <row r="23" spans="1:4" x14ac:dyDescent="0.45">
      <c r="A23" s="394" t="s">
        <v>265</v>
      </c>
      <c r="B23" s="177" t="s">
        <v>266</v>
      </c>
      <c r="C23" s="5">
        <v>1</v>
      </c>
      <c r="D23" s="6">
        <v>2</v>
      </c>
    </row>
    <row r="24" spans="1:4" x14ac:dyDescent="0.45">
      <c r="A24" s="395"/>
      <c r="B24" s="172" t="s">
        <v>210</v>
      </c>
      <c r="C24" s="1">
        <v>1</v>
      </c>
      <c r="D24" s="8">
        <v>3</v>
      </c>
    </row>
    <row r="25" spans="1:4" x14ac:dyDescent="0.45">
      <c r="A25" s="395"/>
      <c r="B25" s="172" t="s">
        <v>214</v>
      </c>
      <c r="C25" s="1">
        <v>2</v>
      </c>
      <c r="D25" s="8">
        <v>3</v>
      </c>
    </row>
    <row r="26" spans="1:4" ht="15" customHeight="1" x14ac:dyDescent="0.45">
      <c r="A26" s="395"/>
      <c r="B26" s="172" t="s">
        <v>272</v>
      </c>
      <c r="C26" s="1">
        <v>1</v>
      </c>
      <c r="D26" s="8">
        <v>4</v>
      </c>
    </row>
    <row r="27" spans="1:4" ht="15" customHeight="1" x14ac:dyDescent="0.45">
      <c r="A27" s="395"/>
      <c r="B27" s="172" t="s">
        <v>273</v>
      </c>
      <c r="C27" s="1">
        <v>2</v>
      </c>
      <c r="D27" s="8">
        <v>4</v>
      </c>
    </row>
    <row r="28" spans="1:4" x14ac:dyDescent="0.45">
      <c r="A28" s="395"/>
      <c r="B28" s="172" t="s">
        <v>271</v>
      </c>
      <c r="C28" s="1">
        <v>1</v>
      </c>
      <c r="D28" s="8">
        <v>4</v>
      </c>
    </row>
    <row r="29" spans="1:4" x14ac:dyDescent="0.45">
      <c r="A29" s="395"/>
      <c r="B29" s="172" t="s">
        <v>267</v>
      </c>
      <c r="C29" s="1">
        <v>2</v>
      </c>
      <c r="D29" s="8">
        <v>4</v>
      </c>
    </row>
    <row r="30" spans="1:4" x14ac:dyDescent="0.45">
      <c r="A30" s="395"/>
      <c r="B30" s="172" t="s">
        <v>268</v>
      </c>
      <c r="C30" s="1">
        <v>2</v>
      </c>
      <c r="D30" s="8">
        <v>5</v>
      </c>
    </row>
    <row r="31" spans="1:4" ht="15" customHeight="1" thickBot="1" x14ac:dyDescent="0.5">
      <c r="A31" s="396"/>
      <c r="B31" s="178" t="s">
        <v>269</v>
      </c>
      <c r="C31" s="12">
        <v>2</v>
      </c>
      <c r="D31" s="13">
        <v>6</v>
      </c>
    </row>
    <row r="32" spans="1:4" x14ac:dyDescent="0.45">
      <c r="A32" s="394" t="s">
        <v>270</v>
      </c>
      <c r="B32" s="177" t="s">
        <v>291</v>
      </c>
      <c r="C32" s="5"/>
      <c r="D32" s="6">
        <v>4</v>
      </c>
    </row>
    <row r="33" spans="1:4" ht="14.65" thickBot="1" x14ac:dyDescent="0.5">
      <c r="A33" s="396"/>
      <c r="B33" s="178" t="s">
        <v>292</v>
      </c>
      <c r="C33" s="12"/>
      <c r="D33" s="13">
        <v>7</v>
      </c>
    </row>
    <row r="34" spans="1:4" x14ac:dyDescent="0.45">
      <c r="A34" s="394" t="s">
        <v>279</v>
      </c>
      <c r="B34" s="177" t="s">
        <v>280</v>
      </c>
      <c r="C34" s="5"/>
      <c r="D34" s="6">
        <v>5</v>
      </c>
    </row>
    <row r="35" spans="1:4" ht="14.65" thickBot="1" x14ac:dyDescent="0.5">
      <c r="A35" s="396"/>
      <c r="B35" s="178" t="s">
        <v>281</v>
      </c>
      <c r="C35" s="12"/>
      <c r="D35" s="13">
        <v>6</v>
      </c>
    </row>
    <row r="36" spans="1:4" ht="14.65" thickBot="1" x14ac:dyDescent="0.5">
      <c r="A36" s="179" t="s">
        <v>282</v>
      </c>
      <c r="B36" s="180" t="s">
        <v>283</v>
      </c>
      <c r="C36" s="181"/>
      <c r="D36" s="182">
        <v>4</v>
      </c>
    </row>
    <row r="37" spans="1:4" x14ac:dyDescent="0.45">
      <c r="A37" s="394" t="s">
        <v>284</v>
      </c>
      <c r="B37" s="177" t="s">
        <v>333</v>
      </c>
      <c r="C37" s="5"/>
      <c r="D37" s="6">
        <v>4</v>
      </c>
    </row>
    <row r="38" spans="1:4" x14ac:dyDescent="0.45">
      <c r="A38" s="395"/>
      <c r="B38" s="172" t="s">
        <v>334</v>
      </c>
      <c r="C38" s="1"/>
      <c r="D38" s="8">
        <v>5</v>
      </c>
    </row>
    <row r="39" spans="1:4" x14ac:dyDescent="0.45">
      <c r="A39" s="395"/>
      <c r="B39" s="172" t="s">
        <v>335</v>
      </c>
      <c r="C39" s="1"/>
      <c r="D39" s="8">
        <v>6</v>
      </c>
    </row>
    <row r="40" spans="1:4" ht="14.65" thickBot="1" x14ac:dyDescent="0.5">
      <c r="A40" s="396"/>
      <c r="B40" s="178" t="s">
        <v>336</v>
      </c>
      <c r="C40" s="12"/>
      <c r="D40" s="13">
        <v>7</v>
      </c>
    </row>
    <row r="41" spans="1:4" ht="14.65" thickBot="1" x14ac:dyDescent="0.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45">
      <c r="A42" s="394" t="s">
        <v>285</v>
      </c>
      <c r="B42" s="177" t="s">
        <v>293</v>
      </c>
      <c r="C42" s="5"/>
      <c r="D42" s="6">
        <v>3</v>
      </c>
    </row>
    <row r="43" spans="1:4" x14ac:dyDescent="0.45">
      <c r="A43" s="395"/>
      <c r="B43" s="172" t="s">
        <v>294</v>
      </c>
      <c r="C43" s="1"/>
      <c r="D43" s="8">
        <v>4</v>
      </c>
    </row>
    <row r="44" spans="1:4" ht="14.65" thickBot="1" x14ac:dyDescent="0.5">
      <c r="A44" s="396"/>
      <c r="B44" s="178" t="s">
        <v>295</v>
      </c>
      <c r="C44" s="12"/>
      <c r="D44" s="13">
        <v>5</v>
      </c>
    </row>
    <row r="45" spans="1:4" x14ac:dyDescent="0.45">
      <c r="A45" s="394" t="s">
        <v>212</v>
      </c>
      <c r="B45" s="177" t="s">
        <v>296</v>
      </c>
      <c r="C45" s="5">
        <v>1</v>
      </c>
      <c r="D45" s="6">
        <v>1</v>
      </c>
    </row>
    <row r="46" spans="1:4" x14ac:dyDescent="0.45">
      <c r="A46" s="395"/>
      <c r="B46" s="172" t="s">
        <v>297</v>
      </c>
      <c r="C46" s="1">
        <v>1</v>
      </c>
      <c r="D46" s="8">
        <v>2</v>
      </c>
    </row>
    <row r="47" spans="1:4" ht="14.65" thickBot="1" x14ac:dyDescent="0.5">
      <c r="A47" s="396"/>
      <c r="B47" s="178" t="s">
        <v>298</v>
      </c>
      <c r="C47" s="12">
        <v>2</v>
      </c>
      <c r="D47" s="13">
        <v>3</v>
      </c>
    </row>
    <row r="48" spans="1:4" x14ac:dyDescent="0.45">
      <c r="A48" s="173"/>
      <c r="B48" s="172"/>
      <c r="C48" s="1"/>
      <c r="D48" s="1"/>
    </row>
    <row r="49" spans="1:4" x14ac:dyDescent="0.45">
      <c r="A49" s="173"/>
      <c r="B49" s="172"/>
      <c r="C49" s="1"/>
      <c r="D49" s="1"/>
    </row>
    <row r="50" spans="1:4" x14ac:dyDescent="0.45">
      <c r="A50" s="173"/>
      <c r="B50" s="172"/>
      <c r="C50" s="1"/>
      <c r="D50" s="1"/>
    </row>
    <row r="51" spans="1:4" x14ac:dyDescent="0.45">
      <c r="A51" s="173"/>
      <c r="B51" s="172"/>
      <c r="C51" s="1"/>
      <c r="D51" s="1"/>
    </row>
    <row r="52" spans="1:4" x14ac:dyDescent="0.45">
      <c r="A52" s="173"/>
      <c r="B52" s="172"/>
      <c r="C52" s="1"/>
      <c r="D52" s="1"/>
    </row>
    <row r="53" spans="1:4" x14ac:dyDescent="0.45">
      <c r="A53" s="173"/>
      <c r="B53" s="172"/>
      <c r="C53" s="1"/>
      <c r="D53" s="1"/>
    </row>
    <row r="54" spans="1:4" x14ac:dyDescent="0.45">
      <c r="A54" s="173"/>
      <c r="B54" s="172"/>
      <c r="C54" s="1"/>
      <c r="D54" s="1"/>
    </row>
    <row r="55" spans="1:4" x14ac:dyDescent="0.45">
      <c r="A55" s="173"/>
      <c r="B55" s="172"/>
      <c r="C55" s="1"/>
      <c r="D55" s="1"/>
    </row>
    <row r="56" spans="1:4" x14ac:dyDescent="0.45">
      <c r="A56" s="173"/>
      <c r="B56" s="172"/>
      <c r="C56" s="1"/>
      <c r="D56" s="1"/>
    </row>
    <row r="57" spans="1:4" x14ac:dyDescent="0.45">
      <c r="A57" s="173"/>
      <c r="B57" s="172"/>
      <c r="C57" s="1"/>
      <c r="D57" s="1"/>
    </row>
    <row r="58" spans="1:4" x14ac:dyDescent="0.45">
      <c r="A58" s="173"/>
      <c r="B58" s="172"/>
      <c r="C58" s="1"/>
      <c r="D58" s="1"/>
    </row>
    <row r="59" spans="1:4" x14ac:dyDescent="0.45">
      <c r="A59" s="173"/>
      <c r="B59" s="172"/>
      <c r="C59" s="1"/>
      <c r="D59" s="1"/>
    </row>
    <row r="60" spans="1:4" x14ac:dyDescent="0.45">
      <c r="A60" s="173"/>
      <c r="B60" s="172"/>
      <c r="C60" s="1"/>
      <c r="D60" s="1"/>
    </row>
    <row r="61" spans="1:4" x14ac:dyDescent="0.45">
      <c r="A61" s="174"/>
      <c r="B61" s="172"/>
      <c r="C61" s="1"/>
      <c r="D61" s="1"/>
    </row>
    <row r="62" spans="1:4" x14ac:dyDescent="0.45">
      <c r="A62" s="102"/>
      <c r="B62" s="172"/>
      <c r="C62" s="1"/>
      <c r="D62" s="1"/>
    </row>
    <row r="63" spans="1:4" x14ac:dyDescent="0.45">
      <c r="A63" s="102"/>
      <c r="B63" s="172"/>
      <c r="C63" s="1"/>
      <c r="D63" s="1"/>
    </row>
    <row r="64" spans="1:4" x14ac:dyDescent="0.45">
      <c r="A64" s="102"/>
      <c r="B64" s="172"/>
      <c r="D64" s="103"/>
    </row>
    <row r="65" spans="1:4" x14ac:dyDescent="0.45">
      <c r="A65" s="102"/>
      <c r="B65" s="172"/>
      <c r="D65" s="103"/>
    </row>
    <row r="66" spans="1:4" x14ac:dyDescent="0.45">
      <c r="A66" s="102"/>
      <c r="B66" s="172"/>
      <c r="D66" s="103"/>
    </row>
    <row r="67" spans="1:4" x14ac:dyDescent="0.45">
      <c r="A67" s="102"/>
      <c r="B67" s="172"/>
      <c r="D67" s="103"/>
    </row>
    <row r="68" spans="1:4" x14ac:dyDescent="0.45">
      <c r="A68" s="102"/>
      <c r="B68" s="172"/>
      <c r="D68" s="103"/>
    </row>
    <row r="69" spans="1:4" x14ac:dyDescent="0.45">
      <c r="A69" s="102"/>
      <c r="B69" s="172"/>
      <c r="D69" s="103"/>
    </row>
    <row r="70" spans="1:4" x14ac:dyDescent="0.45">
      <c r="A70" s="102"/>
      <c r="B70" s="172"/>
      <c r="D70" s="103"/>
    </row>
    <row r="71" spans="1:4" x14ac:dyDescent="0.45">
      <c r="A71" s="102"/>
      <c r="B71" s="172"/>
      <c r="D71" s="103"/>
    </row>
    <row r="72" spans="1:4" x14ac:dyDescent="0.45">
      <c r="A72" s="102"/>
      <c r="B72" s="172"/>
      <c r="D72" s="103"/>
    </row>
    <row r="73" spans="1:4" x14ac:dyDescent="0.45">
      <c r="A73" s="102"/>
      <c r="B73" s="172"/>
      <c r="D73" s="103"/>
    </row>
    <row r="74" spans="1:4" x14ac:dyDescent="0.45">
      <c r="A74" s="102"/>
      <c r="B74" s="172"/>
      <c r="D74" s="103"/>
    </row>
    <row r="75" spans="1:4" x14ac:dyDescent="0.45">
      <c r="A75" s="102"/>
      <c r="B75" s="172"/>
      <c r="D75" s="103"/>
    </row>
    <row r="76" spans="1:4" x14ac:dyDescent="0.45">
      <c r="A76" s="102"/>
      <c r="B76" s="172"/>
      <c r="D76" s="103"/>
    </row>
    <row r="77" spans="1:4" x14ac:dyDescent="0.45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J65"/>
  <sheetViews>
    <sheetView topLeftCell="AC1" zoomScale="85" zoomScaleNormal="85" workbookViewId="0">
      <selection activeCell="AF145" sqref="AF145"/>
    </sheetView>
  </sheetViews>
  <sheetFormatPr defaultRowHeight="14.25" x14ac:dyDescent="0.45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4.65" thickBot="1" x14ac:dyDescent="0.5"/>
    <row r="2" spans="2:36" ht="14.65" thickBot="1" x14ac:dyDescent="0.5">
      <c r="B2" s="296">
        <f>_1!E3</f>
        <v>1.1000000000000001</v>
      </c>
      <c r="C2" s="397" t="str">
        <f>HLOOKUP(B2,_1!E3:E4,2)</f>
        <v>15-24/1</v>
      </c>
      <c r="D2" s="398"/>
      <c r="E2" s="398"/>
      <c r="F2" s="398"/>
      <c r="G2" s="398"/>
      <c r="H2" s="398"/>
      <c r="I2" s="399"/>
      <c r="K2" s="296">
        <f>_1!F3</f>
        <v>1.2</v>
      </c>
      <c r="L2" s="397" t="str">
        <f>HLOOKUP(K2,_1!F3:F4,2)</f>
        <v>15-24/2</v>
      </c>
      <c r="M2" s="398"/>
      <c r="N2" s="398"/>
      <c r="O2" s="398"/>
      <c r="P2" s="398"/>
      <c r="Q2" s="398"/>
      <c r="R2" s="399"/>
      <c r="T2" s="296">
        <f>_1!H3</f>
        <v>2.1</v>
      </c>
      <c r="U2" s="397" t="str">
        <f>HLOOKUP(T2,_1!H3:H4,2)</f>
        <v>15-25</v>
      </c>
      <c r="V2" s="398"/>
      <c r="W2" s="398"/>
      <c r="X2" s="398"/>
      <c r="Y2" s="398"/>
      <c r="Z2" s="398"/>
      <c r="AA2" s="399"/>
      <c r="AC2" s="296">
        <f>_1!I3</f>
        <v>2.2000000000000002</v>
      </c>
      <c r="AD2" s="397" t="str">
        <f>HLOOKUP(AC2,_1!I3:I4,2)</f>
        <v>15-24/4</v>
      </c>
      <c r="AE2" s="398"/>
      <c r="AF2" s="398"/>
      <c r="AG2" s="398"/>
      <c r="AH2" s="398"/>
      <c r="AI2" s="398"/>
      <c r="AJ2" s="399"/>
    </row>
    <row r="3" spans="2:36" ht="28.9" thickBot="1" x14ac:dyDescent="0.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4.65" thickBot="1" x14ac:dyDescent="0.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45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45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45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45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45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45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45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4.65" thickBot="1" x14ac:dyDescent="0.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4.65" thickBot="1" x14ac:dyDescent="0.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45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45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45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45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45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4.65" thickBot="1" x14ac:dyDescent="0.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45">
      <c r="A20" s="400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400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400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400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45">
      <c r="A21" s="401"/>
      <c r="B21" s="199" t="str">
        <f>ВОР1!B270</f>
        <v>песок другой</v>
      </c>
      <c r="I21" s="8">
        <f>SUMIF(B$4:B$12,B21,I$4:I$12)</f>
        <v>4</v>
      </c>
      <c r="J21" s="401"/>
      <c r="K21" s="199" t="str">
        <f t="shared" si="12"/>
        <v>песок другой</v>
      </c>
      <c r="R21" s="8">
        <f>SUMIF(K$4:K$12,K21,R$4:R$12)</f>
        <v>3</v>
      </c>
      <c r="S21" s="401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401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45">
      <c r="A22" s="401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401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401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401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45">
      <c r="A23" s="401"/>
      <c r="B23" s="199" t="str">
        <f>ВОР1!B272</f>
        <v>суглинок мягкопластичный</v>
      </c>
      <c r="I23" s="8">
        <f t="shared" si="15"/>
        <v>0</v>
      </c>
      <c r="J23" s="401"/>
      <c r="K23" s="199" t="str">
        <f t="shared" si="12"/>
        <v>суглинок мягкопластичный</v>
      </c>
      <c r="R23" s="8">
        <f t="shared" si="16"/>
        <v>0</v>
      </c>
      <c r="S23" s="401"/>
      <c r="T23" s="132" t="str">
        <f t="shared" si="13"/>
        <v>суглинок мягкопластичный</v>
      </c>
      <c r="Z23" s="327"/>
      <c r="AA23" s="8">
        <f t="shared" si="17"/>
        <v>0</v>
      </c>
      <c r="AB23" s="401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45">
      <c r="A24" s="401"/>
      <c r="B24" s="199" t="str">
        <f>ВОР1!B273</f>
        <v>супесь пластичная</v>
      </c>
      <c r="I24" s="8">
        <f t="shared" si="15"/>
        <v>0</v>
      </c>
      <c r="J24" s="401"/>
      <c r="K24" s="199" t="str">
        <f t="shared" si="12"/>
        <v>супесь пластичная</v>
      </c>
      <c r="R24" s="8">
        <f t="shared" si="16"/>
        <v>0</v>
      </c>
      <c r="S24" s="401"/>
      <c r="T24" s="132" t="str">
        <f t="shared" si="13"/>
        <v>супесь пластичная</v>
      </c>
      <c r="Z24" s="327"/>
      <c r="AA24" s="8">
        <f t="shared" si="17"/>
        <v>0</v>
      </c>
      <c r="AB24" s="401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45">
      <c r="A25" s="401"/>
      <c r="B25" s="199" t="str">
        <f>ВОР1!B274</f>
        <v>ил</v>
      </c>
      <c r="I25" s="8">
        <f t="shared" si="15"/>
        <v>0</v>
      </c>
      <c r="J25" s="401"/>
      <c r="K25" s="199" t="str">
        <f t="shared" si="12"/>
        <v>ил</v>
      </c>
      <c r="R25" s="8">
        <f t="shared" si="16"/>
        <v>0</v>
      </c>
      <c r="S25" s="401"/>
      <c r="T25" s="132" t="str">
        <f t="shared" si="13"/>
        <v>ил</v>
      </c>
      <c r="Z25" s="327"/>
      <c r="AA25" s="8">
        <f t="shared" si="17"/>
        <v>0</v>
      </c>
      <c r="AB25" s="401"/>
      <c r="AC25" s="132" t="str">
        <f t="shared" si="14"/>
        <v>ил</v>
      </c>
      <c r="AI25" s="327"/>
      <c r="AJ25" s="8">
        <f t="shared" si="18"/>
        <v>0</v>
      </c>
    </row>
    <row r="26" spans="1:36" ht="14.65" thickBot="1" x14ac:dyDescent="0.5">
      <c r="A26" s="402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402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401"/>
      <c r="T26" s="132" t="str">
        <f t="shared" si="13"/>
        <v>торф без корней</v>
      </c>
      <c r="Z26" s="327"/>
      <c r="AA26" s="8">
        <f t="shared" si="17"/>
        <v>0</v>
      </c>
      <c r="AB26" s="402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45">
      <c r="A27" s="400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400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400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400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45">
      <c r="A28" s="401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401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401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401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45">
      <c r="A29" s="401"/>
      <c r="B29" s="199" t="str">
        <f>ВОР1!B278</f>
        <v>суглинок тугопластичный 10-20% щебня</v>
      </c>
      <c r="I29" s="8">
        <f t="shared" si="15"/>
        <v>0</v>
      </c>
      <c r="J29" s="401"/>
      <c r="K29" s="199" t="str">
        <f t="shared" si="12"/>
        <v>суглинок тугопластичный 10-20% щебня</v>
      </c>
      <c r="R29" s="8">
        <f t="shared" si="16"/>
        <v>0</v>
      </c>
      <c r="S29" s="401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401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45">
      <c r="A30" s="401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401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401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401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45">
      <c r="A31" s="401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401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401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401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45">
      <c r="A32" s="401"/>
      <c r="B32" s="199" t="str">
        <f>ВОР1!B281</f>
        <v>глина мягкая, тугопластичная</v>
      </c>
      <c r="I32" s="8">
        <f t="shared" si="15"/>
        <v>0</v>
      </c>
      <c r="J32" s="401"/>
      <c r="K32" s="199" t="str">
        <f t="shared" si="12"/>
        <v>глина мягкая, тугопластичная</v>
      </c>
      <c r="R32" s="8">
        <f t="shared" si="16"/>
        <v>0</v>
      </c>
      <c r="S32" s="401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401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4.65" thickBot="1" x14ac:dyDescent="0.5">
      <c r="A33" s="402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402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402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402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45">
      <c r="A34" s="400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400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401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400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45">
      <c r="A35" s="401"/>
      <c r="B35" s="199" t="str">
        <f>ВОР1!B284</f>
        <v>суглинок тугопластичный более 20% щебня</v>
      </c>
      <c r="I35" s="8">
        <f t="shared" si="15"/>
        <v>0</v>
      </c>
      <c r="J35" s="401"/>
      <c r="K35" s="199" t="str">
        <f t="shared" si="12"/>
        <v>суглинок тугопластичный более 20% щебня</v>
      </c>
      <c r="R35" s="8">
        <f t="shared" si="16"/>
        <v>0</v>
      </c>
      <c r="S35" s="401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401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45">
      <c r="A36" s="401"/>
      <c r="B36" s="199" t="str">
        <f>ВОР1!B285</f>
        <v>суглинок полутвердый, твердый</v>
      </c>
      <c r="I36" s="8">
        <f t="shared" si="15"/>
        <v>0</v>
      </c>
      <c r="J36" s="401"/>
      <c r="K36" s="199" t="str">
        <f t="shared" si="12"/>
        <v>суглинок полутвердый, твердый</v>
      </c>
      <c r="R36" s="8">
        <f t="shared" si="16"/>
        <v>0</v>
      </c>
      <c r="S36" s="401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401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45">
      <c r="A37" s="401"/>
      <c r="B37" s="199" t="str">
        <f>ВОР1!B286</f>
        <v>супесь пластичная с валунами</v>
      </c>
      <c r="I37" s="8">
        <f t="shared" si="15"/>
        <v>0</v>
      </c>
      <c r="J37" s="401"/>
      <c r="K37" s="199" t="str">
        <f t="shared" si="12"/>
        <v>супесь пластичная с валунами</v>
      </c>
      <c r="R37" s="8">
        <f t="shared" si="16"/>
        <v>0</v>
      </c>
      <c r="S37" s="401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401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45">
      <c r="A38" s="401"/>
      <c r="B38" s="199" t="str">
        <f>ВОР1!B287</f>
        <v>супесь твердая</v>
      </c>
      <c r="I38" s="8">
        <f t="shared" si="15"/>
        <v>0</v>
      </c>
      <c r="J38" s="401"/>
      <c r="K38" s="199" t="str">
        <f t="shared" si="12"/>
        <v>супесь твердая</v>
      </c>
      <c r="R38" s="8">
        <f t="shared" si="16"/>
        <v>0</v>
      </c>
      <c r="S38" s="401"/>
      <c r="T38" s="132" t="str">
        <f t="shared" si="13"/>
        <v>супесь твердая</v>
      </c>
      <c r="Z38" s="327"/>
      <c r="AA38" s="8">
        <f t="shared" si="17"/>
        <v>0</v>
      </c>
      <c r="AB38" s="401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45">
      <c r="A39" s="401"/>
      <c r="B39" s="199" t="str">
        <f>ВОР1!B288</f>
        <v>глина мягкопластичная</v>
      </c>
      <c r="I39" s="8">
        <f t="shared" si="15"/>
        <v>0</v>
      </c>
      <c r="J39" s="401"/>
      <c r="K39" s="199" t="str">
        <f t="shared" si="12"/>
        <v>глина мягкопластичная</v>
      </c>
      <c r="R39" s="8">
        <f t="shared" si="16"/>
        <v>0</v>
      </c>
      <c r="S39" s="401"/>
      <c r="T39" s="132" t="str">
        <f t="shared" si="13"/>
        <v>глина мягкопластичная</v>
      </c>
      <c r="Z39" s="327"/>
      <c r="AA39" s="8">
        <f t="shared" si="17"/>
        <v>0</v>
      </c>
      <c r="AB39" s="401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45">
      <c r="A40" s="401"/>
      <c r="B40" s="199" t="str">
        <f>ВОР1!B289</f>
        <v>глина полутвердая</v>
      </c>
      <c r="I40" s="8">
        <f t="shared" si="15"/>
        <v>2.3000000000000114</v>
      </c>
      <c r="J40" s="401"/>
      <c r="K40" s="199" t="str">
        <f t="shared" si="12"/>
        <v>глина полутвердая</v>
      </c>
      <c r="R40" s="8">
        <f t="shared" si="16"/>
        <v>2.9000000000000057</v>
      </c>
      <c r="S40" s="401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401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45">
      <c r="A41" s="401"/>
      <c r="B41" s="199" t="str">
        <f>ВОР1!B290</f>
        <v>мергель низкой прочности</v>
      </c>
      <c r="I41" s="8">
        <f t="shared" si="15"/>
        <v>0</v>
      </c>
      <c r="J41" s="401"/>
      <c r="K41" s="199" t="str">
        <f t="shared" si="12"/>
        <v>мергель низкой прочности</v>
      </c>
      <c r="R41" s="8">
        <f t="shared" si="16"/>
        <v>0</v>
      </c>
      <c r="S41" s="401"/>
      <c r="T41" s="132" t="str">
        <f t="shared" si="13"/>
        <v>мергель низкой прочности</v>
      </c>
      <c r="Z41" s="327"/>
      <c r="AA41" s="8">
        <f t="shared" si="17"/>
        <v>0</v>
      </c>
      <c r="AB41" s="401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4.65" thickBot="1" x14ac:dyDescent="0.5">
      <c r="A42" s="402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402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401"/>
      <c r="T42" s="132" t="str">
        <f t="shared" si="13"/>
        <v>торф  с щебнем более 10%</v>
      </c>
      <c r="Z42" s="327"/>
      <c r="AA42" s="8">
        <f t="shared" si="17"/>
        <v>0</v>
      </c>
      <c r="AB42" s="402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45">
      <c r="A43" s="400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400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400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400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45">
      <c r="A44" s="401"/>
      <c r="B44" s="199" t="str">
        <f>ВОР1!B293</f>
        <v>суглинок с валунами</v>
      </c>
      <c r="I44" s="8">
        <f t="shared" si="15"/>
        <v>0</v>
      </c>
      <c r="J44" s="401"/>
      <c r="K44" s="199" t="str">
        <f t="shared" si="12"/>
        <v>суглинок с валунами</v>
      </c>
      <c r="R44" s="8">
        <f t="shared" si="16"/>
        <v>0</v>
      </c>
      <c r="S44" s="401"/>
      <c r="T44" s="132" t="str">
        <f t="shared" si="13"/>
        <v>суглинок с валунами</v>
      </c>
      <c r="Z44" s="327"/>
      <c r="AA44" s="8">
        <f t="shared" si="17"/>
        <v>0</v>
      </c>
      <c r="AB44" s="401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45">
      <c r="A45" s="401"/>
      <c r="B45" s="199" t="str">
        <f>ВОР1!B294</f>
        <v>супесь твердая с валунами</v>
      </c>
      <c r="I45" s="8">
        <f t="shared" si="15"/>
        <v>0</v>
      </c>
      <c r="J45" s="401"/>
      <c r="K45" s="199" t="str">
        <f t="shared" si="12"/>
        <v>супесь твердая с валунами</v>
      </c>
      <c r="R45" s="8">
        <f t="shared" si="16"/>
        <v>0</v>
      </c>
      <c r="S45" s="401"/>
      <c r="T45" s="132" t="str">
        <f t="shared" si="13"/>
        <v>супесь твердая с валунами</v>
      </c>
      <c r="Z45" s="327"/>
      <c r="AA45" s="8">
        <f t="shared" si="17"/>
        <v>0</v>
      </c>
      <c r="AB45" s="401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45">
      <c r="A46" s="401"/>
      <c r="B46" s="199" t="str">
        <f>ВОР1!B295</f>
        <v>супесь твердая с более 30% щебня</v>
      </c>
      <c r="I46" s="8">
        <f t="shared" si="15"/>
        <v>0</v>
      </c>
      <c r="J46" s="401"/>
      <c r="K46" s="199" t="str">
        <f t="shared" si="12"/>
        <v>супесь твердая с более 30% щебня</v>
      </c>
      <c r="R46" s="8">
        <f t="shared" si="16"/>
        <v>0</v>
      </c>
      <c r="S46" s="401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401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45">
      <c r="A47" s="401"/>
      <c r="B47" s="199" t="str">
        <f>ВОР1!B296</f>
        <v>глина мягкопластичная с щебнем более 10%</v>
      </c>
      <c r="I47" s="8">
        <f t="shared" si="15"/>
        <v>0</v>
      </c>
      <c r="J47" s="401"/>
      <c r="K47" s="199" t="str">
        <f t="shared" si="12"/>
        <v>глина мягкопластичная с щебнем более 10%</v>
      </c>
      <c r="R47" s="8">
        <f t="shared" si="16"/>
        <v>0</v>
      </c>
      <c r="S47" s="401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401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45">
      <c r="A48" s="401"/>
      <c r="B48" s="199" t="str">
        <f>ВОР1!B297</f>
        <v>глина полутвердая с щебнем более 10%</v>
      </c>
      <c r="I48" s="8">
        <f t="shared" si="15"/>
        <v>0</v>
      </c>
      <c r="J48" s="401"/>
      <c r="K48" s="199" t="str">
        <f t="shared" si="12"/>
        <v>глина полутвердая с щебнем более 10%</v>
      </c>
      <c r="R48" s="8">
        <f t="shared" si="16"/>
        <v>0</v>
      </c>
      <c r="S48" s="401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401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45">
      <c r="A49" s="401"/>
      <c r="B49" s="199" t="str">
        <f>ВОР1!B298</f>
        <v>глина текучепластичная</v>
      </c>
      <c r="I49" s="8">
        <f t="shared" si="15"/>
        <v>0</v>
      </c>
      <c r="J49" s="401"/>
      <c r="K49" s="199" t="str">
        <f t="shared" si="12"/>
        <v>глина текучепластичная</v>
      </c>
      <c r="R49" s="8">
        <f t="shared" si="16"/>
        <v>0</v>
      </c>
      <c r="S49" s="401"/>
      <c r="T49" s="132" t="str">
        <f t="shared" si="13"/>
        <v>глина текучепластичная</v>
      </c>
      <c r="Z49" s="327"/>
      <c r="AA49" s="8">
        <f t="shared" si="17"/>
        <v>0</v>
      </c>
      <c r="AB49" s="401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45">
      <c r="A50" s="401"/>
      <c r="B50" s="199" t="str">
        <f>ВОР1!B299</f>
        <v>глина плотная, с валунами</v>
      </c>
      <c r="I50" s="8">
        <f t="shared" si="15"/>
        <v>0</v>
      </c>
      <c r="J50" s="401"/>
      <c r="K50" s="199" t="str">
        <f t="shared" si="12"/>
        <v>глина плотная, с валунами</v>
      </c>
      <c r="R50" s="8">
        <f t="shared" si="16"/>
        <v>0</v>
      </c>
      <c r="S50" s="401"/>
      <c r="T50" s="132" t="str">
        <f t="shared" si="13"/>
        <v>глина плотная, с валунами</v>
      </c>
      <c r="Z50" s="327"/>
      <c r="AA50" s="8">
        <f t="shared" si="17"/>
        <v>0</v>
      </c>
      <c r="AB50" s="401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45">
      <c r="A51" s="401"/>
      <c r="B51" s="199" t="str">
        <f>ВОР1!B300</f>
        <v>бетон слабый</v>
      </c>
      <c r="I51" s="8">
        <f t="shared" si="15"/>
        <v>0</v>
      </c>
      <c r="J51" s="401"/>
      <c r="K51" s="199" t="str">
        <f t="shared" si="12"/>
        <v>бетон слабый</v>
      </c>
      <c r="R51" s="8">
        <f t="shared" si="16"/>
        <v>0</v>
      </c>
      <c r="S51" s="401"/>
      <c r="T51" s="132" t="str">
        <f t="shared" si="13"/>
        <v>бетон слабый</v>
      </c>
      <c r="Z51" s="327"/>
      <c r="AA51" s="8">
        <f t="shared" si="17"/>
        <v>0</v>
      </c>
      <c r="AB51" s="401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45">
      <c r="A52" s="401"/>
      <c r="B52" s="199" t="str">
        <f>ВОР1!B301</f>
        <v>дресвяный</v>
      </c>
      <c r="I52" s="8">
        <f t="shared" si="15"/>
        <v>0</v>
      </c>
      <c r="J52" s="401"/>
      <c r="K52" s="199" t="str">
        <f t="shared" si="12"/>
        <v>дресвяный</v>
      </c>
      <c r="R52" s="8">
        <f t="shared" si="16"/>
        <v>0</v>
      </c>
      <c r="S52" s="401"/>
      <c r="T52" s="132" t="str">
        <f t="shared" si="13"/>
        <v>дресвяный</v>
      </c>
      <c r="Z52" s="327"/>
      <c r="AA52" s="8">
        <f t="shared" si="17"/>
        <v>0</v>
      </c>
      <c r="AB52" s="401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45">
      <c r="A53" s="401"/>
      <c r="B53" s="199" t="str">
        <f>ВОР1!B302</f>
        <v>известняк сильновыветривывшийся</v>
      </c>
      <c r="I53" s="8">
        <f t="shared" si="15"/>
        <v>0</v>
      </c>
      <c r="J53" s="401"/>
      <c r="K53" s="199" t="str">
        <f t="shared" si="12"/>
        <v>известняк сильновыветривывшийся</v>
      </c>
      <c r="R53" s="8">
        <f t="shared" si="16"/>
        <v>0</v>
      </c>
      <c r="S53" s="401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401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4.65" thickBot="1" x14ac:dyDescent="0.5">
      <c r="A54" s="402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402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402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402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45">
      <c r="A55" s="400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400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401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400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45">
      <c r="A56" s="401"/>
      <c r="B56" s="199" t="str">
        <f>ВОР1!B305</f>
        <v>супесь твердая с более 30% щебня и валунами</v>
      </c>
      <c r="I56" s="8">
        <f t="shared" si="15"/>
        <v>0</v>
      </c>
      <c r="J56" s="401"/>
      <c r="K56" s="199" t="str">
        <f t="shared" si="12"/>
        <v>супесь твердая с более 30% щебня и валунами</v>
      </c>
      <c r="R56" s="8">
        <f t="shared" si="16"/>
        <v>0</v>
      </c>
      <c r="S56" s="401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401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45">
      <c r="A57" s="401"/>
      <c r="B57" s="199" t="str">
        <f>ВОР1!B306</f>
        <v>глина плотная, твердая</v>
      </c>
      <c r="I57" s="8">
        <f t="shared" si="15"/>
        <v>2.9000000000000057</v>
      </c>
      <c r="J57" s="401"/>
      <c r="K57" s="199" t="str">
        <f t="shared" si="12"/>
        <v>глина плотная, твердая</v>
      </c>
      <c r="R57" s="8">
        <f t="shared" si="16"/>
        <v>2.7000000000000028</v>
      </c>
      <c r="S57" s="401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401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45">
      <c r="A58" s="401"/>
      <c r="B58" s="199" t="str">
        <f>ВОР1!B307</f>
        <v>гравий и галька фр. до 80мм</v>
      </c>
      <c r="I58" s="8">
        <f t="shared" si="15"/>
        <v>0</v>
      </c>
      <c r="J58" s="401"/>
      <c r="K58" s="199" t="str">
        <f t="shared" si="12"/>
        <v>гравий и галька фр. до 80мм</v>
      </c>
      <c r="R58" s="8">
        <f t="shared" si="16"/>
        <v>0</v>
      </c>
      <c r="S58" s="401"/>
      <c r="T58" s="132" t="str">
        <f t="shared" si="13"/>
        <v>гравий и галька фр. до 80мм</v>
      </c>
      <c r="Z58" s="327"/>
      <c r="AA58" s="8">
        <f t="shared" si="17"/>
        <v>0</v>
      </c>
      <c r="AB58" s="401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45">
      <c r="A59" s="401"/>
      <c r="B59" s="199" t="str">
        <f>ВОР1!B308</f>
        <v>известняк малопрочный, выветривывшийся</v>
      </c>
      <c r="I59" s="8">
        <f t="shared" si="15"/>
        <v>0</v>
      </c>
      <c r="J59" s="401"/>
      <c r="K59" s="199" t="str">
        <f t="shared" si="12"/>
        <v>известняк малопрочный, выветривывшийся</v>
      </c>
      <c r="R59" s="8">
        <f t="shared" si="16"/>
        <v>0</v>
      </c>
      <c r="S59" s="401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401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4.65" thickBot="1" x14ac:dyDescent="0.5">
      <c r="A60" s="402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402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402"/>
      <c r="T60" s="132" t="str">
        <f t="shared" si="13"/>
        <v>мергель прочный</v>
      </c>
      <c r="Z60" s="327"/>
      <c r="AA60" s="8">
        <f t="shared" si="17"/>
        <v>0</v>
      </c>
      <c r="AB60" s="402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45">
      <c r="A61" s="400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400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400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400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45">
      <c r="A62" s="401"/>
      <c r="B62" s="199" t="str">
        <f>ВОР1!B311</f>
        <v>галечник крупный с валунами</v>
      </c>
      <c r="I62" s="8">
        <f t="shared" si="15"/>
        <v>0</v>
      </c>
      <c r="J62" s="401"/>
      <c r="K62" s="199" t="str">
        <f t="shared" si="12"/>
        <v>галечник крупный с валунами</v>
      </c>
      <c r="R62" s="8">
        <f t="shared" si="16"/>
        <v>0</v>
      </c>
      <c r="S62" s="401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401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4.65" thickBot="1" x14ac:dyDescent="0.5">
      <c r="A63" s="402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402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402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402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45">
      <c r="A64" s="400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400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400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400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4.65" thickBot="1" x14ac:dyDescent="0.5">
      <c r="A65" s="402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402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402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402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S34:S42"/>
    <mergeCell ref="S43:S54"/>
    <mergeCell ref="S55:S60"/>
    <mergeCell ref="S61:S63"/>
    <mergeCell ref="AB34:AB42"/>
    <mergeCell ref="AB43:AB54"/>
    <mergeCell ref="AB55:AB60"/>
    <mergeCell ref="AB61:AB63"/>
    <mergeCell ref="A61:A63"/>
    <mergeCell ref="A64:A65"/>
    <mergeCell ref="AB64:AB65"/>
    <mergeCell ref="J61:J63"/>
    <mergeCell ref="J64:J65"/>
    <mergeCell ref="S64:S65"/>
    <mergeCell ref="J34:J42"/>
    <mergeCell ref="J43:J54"/>
    <mergeCell ref="J55:J60"/>
    <mergeCell ref="A34:A42"/>
    <mergeCell ref="A43:A54"/>
    <mergeCell ref="A55:A60"/>
    <mergeCell ref="A27:A33"/>
    <mergeCell ref="AB20:AB26"/>
    <mergeCell ref="AB27:AB33"/>
    <mergeCell ref="S20:S26"/>
    <mergeCell ref="S27:S33"/>
    <mergeCell ref="J20:J26"/>
    <mergeCell ref="J27:J33"/>
    <mergeCell ref="AD2:AJ2"/>
    <mergeCell ref="C2:I2"/>
    <mergeCell ref="L2:R2"/>
    <mergeCell ref="U2:AA2"/>
    <mergeCell ref="A20:A26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8"/>
  <sheetViews>
    <sheetView topLeftCell="A5" workbookViewId="0">
      <selection activeCell="D19" sqref="D19"/>
    </sheetView>
  </sheetViews>
  <sheetFormatPr defaultRowHeight="14.25" x14ac:dyDescent="0.45"/>
  <cols>
    <col min="1" max="1" width="11.33203125" style="1" bestFit="1" customWidth="1"/>
    <col min="2" max="2" width="16.46484375" style="1" bestFit="1" customWidth="1"/>
    <col min="3" max="3" width="14.33203125" style="1" bestFit="1" customWidth="1"/>
    <col min="4" max="4" width="9.1328125" style="1" customWidth="1"/>
  </cols>
  <sheetData>
    <row r="1" spans="1:4" ht="14.65" thickBot="1" x14ac:dyDescent="0.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45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45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45">
      <c r="A4" s="7" t="s">
        <v>341</v>
      </c>
      <c r="B4" s="1">
        <v>30</v>
      </c>
      <c r="C4" s="1">
        <v>0.9</v>
      </c>
      <c r="D4" s="8">
        <v>1.2</v>
      </c>
    </row>
    <row r="5" spans="1:4" x14ac:dyDescent="0.45">
      <c r="A5" s="7" t="s">
        <v>393</v>
      </c>
      <c r="B5" s="1">
        <v>16</v>
      </c>
      <c r="C5" s="1">
        <v>0.9</v>
      </c>
      <c r="D5" s="8">
        <v>1.2</v>
      </c>
    </row>
    <row r="6" spans="1:4" x14ac:dyDescent="0.45">
      <c r="A6" s="7" t="s">
        <v>398</v>
      </c>
      <c r="D6" s="8"/>
    </row>
    <row r="7" spans="1:4" x14ac:dyDescent="0.45">
      <c r="A7" s="7" t="s">
        <v>399</v>
      </c>
      <c r="D7" s="8"/>
    </row>
    <row r="8" spans="1:4" ht="14.65" thickBot="1" x14ac:dyDescent="0.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B1" sqref="B1"/>
    </sheetView>
  </sheetViews>
  <sheetFormatPr defaultRowHeight="14.25" x14ac:dyDescent="0.45"/>
  <cols>
    <col min="1" max="1" width="11.33203125" bestFit="1" customWidth="1"/>
    <col min="2" max="2" width="14.33203125" bestFit="1" customWidth="1"/>
  </cols>
  <sheetData>
    <row r="1" spans="1:2" ht="14.65" thickBot="1" x14ac:dyDescent="0.5">
      <c r="A1" s="315" t="s">
        <v>402</v>
      </c>
      <c r="B1" s="182" t="s">
        <v>403</v>
      </c>
    </row>
    <row r="2" spans="1:2" x14ac:dyDescent="0.45">
      <c r="A2" s="4" t="s">
        <v>224</v>
      </c>
      <c r="B2" s="6">
        <v>1</v>
      </c>
    </row>
    <row r="3" spans="1:2" x14ac:dyDescent="0.45">
      <c r="A3" s="7" t="s">
        <v>230</v>
      </c>
      <c r="B3" s="8">
        <v>1.1200000000000001</v>
      </c>
    </row>
    <row r="4" spans="1:2" x14ac:dyDescent="0.45">
      <c r="A4" s="7" t="s">
        <v>231</v>
      </c>
      <c r="B4" s="8">
        <v>1.24</v>
      </c>
    </row>
    <row r="5" spans="1:2" x14ac:dyDescent="0.45">
      <c r="A5" s="7" t="s">
        <v>232</v>
      </c>
      <c r="B5" s="8">
        <v>1.37</v>
      </c>
    </row>
    <row r="6" spans="1:2" x14ac:dyDescent="0.45">
      <c r="A6" s="7" t="s">
        <v>229</v>
      </c>
      <c r="B6" s="8">
        <v>1.49</v>
      </c>
    </row>
    <row r="7" spans="1:2" x14ac:dyDescent="0.45">
      <c r="A7" s="7" t="s">
        <v>228</v>
      </c>
      <c r="B7" s="8">
        <v>1.61</v>
      </c>
    </row>
    <row r="8" spans="1:2" x14ac:dyDescent="0.45">
      <c r="A8" s="7" t="s">
        <v>227</v>
      </c>
      <c r="B8" s="8">
        <v>1.73</v>
      </c>
    </row>
    <row r="9" spans="1:2" x14ac:dyDescent="0.45">
      <c r="A9" s="7" t="s">
        <v>226</v>
      </c>
      <c r="B9" s="8">
        <v>1.86</v>
      </c>
    </row>
    <row r="10" spans="1:2" x14ac:dyDescent="0.45">
      <c r="A10" s="7" t="s">
        <v>225</v>
      </c>
      <c r="B10" s="8">
        <v>1.98</v>
      </c>
    </row>
    <row r="11" spans="1:2" x14ac:dyDescent="0.45">
      <c r="A11" s="7" t="s">
        <v>233</v>
      </c>
      <c r="B11" s="8">
        <v>2.12</v>
      </c>
    </row>
    <row r="12" spans="1:2" x14ac:dyDescent="0.45">
      <c r="A12" s="7" t="s">
        <v>234</v>
      </c>
      <c r="B12" s="8">
        <v>2.2799999999999998</v>
      </c>
    </row>
    <row r="13" spans="1:2" x14ac:dyDescent="0.45">
      <c r="A13" s="7" t="s">
        <v>235</v>
      </c>
      <c r="B13" s="8">
        <v>2.44</v>
      </c>
    </row>
    <row r="14" spans="1:2" x14ac:dyDescent="0.45">
      <c r="A14" s="7" t="s">
        <v>236</v>
      </c>
      <c r="B14" s="8">
        <v>2.6</v>
      </c>
    </row>
    <row r="15" spans="1:2" x14ac:dyDescent="0.45">
      <c r="A15" s="7" t="s">
        <v>237</v>
      </c>
      <c r="B15" s="8">
        <v>2.76</v>
      </c>
    </row>
    <row r="16" spans="1:2" ht="14.65" thickBot="1" x14ac:dyDescent="0.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T111"/>
  <sheetViews>
    <sheetView zoomScale="85" zoomScaleNormal="85" workbookViewId="0">
      <selection activeCell="F27" sqref="F27"/>
    </sheetView>
  </sheetViews>
  <sheetFormatPr defaultRowHeight="14.25" x14ac:dyDescent="0.45"/>
  <cols>
    <col min="1" max="1" width="8.53125" style="102" customWidth="1"/>
    <col min="2" max="2" width="51.46484375" style="1" customWidth="1"/>
    <col min="3" max="4" width="9.86328125" customWidth="1"/>
    <col min="5" max="8" width="9.86328125" style="103" customWidth="1"/>
    <col min="9" max="9" width="9.86328125" customWidth="1"/>
    <col min="10" max="11" width="12.6640625" customWidth="1"/>
    <col min="12" max="13" width="10.1328125" customWidth="1"/>
    <col min="14" max="14" width="20.1328125" customWidth="1"/>
    <col min="15" max="15" width="27.46484375" customWidth="1"/>
    <col min="20" max="20" width="9.33203125" style="112" customWidth="1"/>
  </cols>
  <sheetData>
    <row r="1" spans="1:20" x14ac:dyDescent="0.45">
      <c r="G1"/>
      <c r="H1"/>
      <c r="R1" s="112"/>
      <c r="T1"/>
    </row>
    <row r="2" spans="1:20" ht="14.65" thickBot="1" x14ac:dyDescent="0.5">
      <c r="G2"/>
      <c r="H2"/>
      <c r="R2" s="112"/>
      <c r="T2"/>
    </row>
    <row r="3" spans="1:20" x14ac:dyDescent="0.45">
      <c r="B3" s="404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4.65" thickBot="1" x14ac:dyDescent="0.5">
      <c r="B4" s="405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45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45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45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45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45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45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45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45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45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45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45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45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45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5" customHeight="1" thickBot="1" x14ac:dyDescent="0.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5" customHeight="1" x14ac:dyDescent="0.45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5" customHeight="1" x14ac:dyDescent="0.45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5" customHeight="1" x14ac:dyDescent="0.45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45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5" customHeight="1" x14ac:dyDescent="0.45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5" customHeight="1" x14ac:dyDescent="0.45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5" customHeight="1" x14ac:dyDescent="0.45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5" customHeight="1" x14ac:dyDescent="0.45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5" customHeight="1" x14ac:dyDescent="0.45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5" customHeight="1" x14ac:dyDescent="0.45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5" customHeight="1" x14ac:dyDescent="0.45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5" customHeight="1" x14ac:dyDescent="0.45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5" customHeight="1" x14ac:dyDescent="0.45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5" customHeight="1" x14ac:dyDescent="0.45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5" customHeight="1" x14ac:dyDescent="0.45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5" customHeight="1" thickBot="1" x14ac:dyDescent="0.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5" customHeight="1" x14ac:dyDescent="0.45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5" customHeight="1" x14ac:dyDescent="0.45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5" customHeight="1" x14ac:dyDescent="0.45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5" customHeight="1" x14ac:dyDescent="0.45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5" customHeight="1" x14ac:dyDescent="0.45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5" customHeight="1" x14ac:dyDescent="0.45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5" customHeight="1" x14ac:dyDescent="0.45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5" customHeight="1" thickBot="1" x14ac:dyDescent="0.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5" customHeight="1" thickBot="1" x14ac:dyDescent="0.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5" customHeight="1" thickBot="1" x14ac:dyDescent="0.5">
      <c r="A47" s="403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5" customHeight="1" thickBot="1" x14ac:dyDescent="0.5">
      <c r="A48" s="403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5" customHeight="1" thickBot="1" x14ac:dyDescent="0.5">
      <c r="A49" s="403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5" customHeight="1" thickBot="1" x14ac:dyDescent="0.5">
      <c r="A50" s="403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5" customHeight="1" thickBot="1" x14ac:dyDescent="0.5">
      <c r="A51" s="403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5" customHeight="1" thickBot="1" x14ac:dyDescent="0.5">
      <c r="A52" s="403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5" customHeight="1" thickBot="1" x14ac:dyDescent="0.5">
      <c r="A53" s="403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5" customHeight="1" thickBot="1" x14ac:dyDescent="0.5">
      <c r="A54" s="403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5" customHeight="1" thickBot="1" x14ac:dyDescent="0.5">
      <c r="A55" s="403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5" customHeight="1" thickBot="1" x14ac:dyDescent="0.5">
      <c r="A56" s="403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5" customHeight="1" thickBot="1" x14ac:dyDescent="0.5">
      <c r="A57" s="403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5" customHeight="1" thickBot="1" x14ac:dyDescent="0.5">
      <c r="A58" s="403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5" customHeight="1" thickBot="1" x14ac:dyDescent="0.5">
      <c r="A59" s="403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5" customHeight="1" thickBot="1" x14ac:dyDescent="0.5">
      <c r="A60" s="403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5" customHeight="1" thickBot="1" x14ac:dyDescent="0.5">
      <c r="A61" s="403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5" customHeight="1" thickBot="1" x14ac:dyDescent="0.5">
      <c r="A62" s="403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5" customHeight="1" thickBot="1" x14ac:dyDescent="0.5">
      <c r="A63" s="403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5" customHeight="1" thickBot="1" x14ac:dyDescent="0.5">
      <c r="A64" s="403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5" customHeight="1" thickBot="1" x14ac:dyDescent="0.5">
      <c r="A65" s="403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5" customHeight="1" thickBot="1" x14ac:dyDescent="0.5">
      <c r="A66" s="403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5" customHeight="1" thickBot="1" x14ac:dyDescent="0.5">
      <c r="A67" s="403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5" customHeight="1" thickBot="1" x14ac:dyDescent="0.5">
      <c r="A68" s="403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5" customHeight="1" thickBot="1" x14ac:dyDescent="0.5">
      <c r="A69" s="403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5" customHeight="1" thickBot="1" x14ac:dyDescent="0.5">
      <c r="A70" s="403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5" customHeight="1" thickBot="1" x14ac:dyDescent="0.5">
      <c r="A71" s="403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5" customHeight="1" thickBot="1" x14ac:dyDescent="0.5">
      <c r="A72" s="403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5" customHeight="1" thickBot="1" x14ac:dyDescent="0.5">
      <c r="A73" s="403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5" customHeight="1" thickBot="1" x14ac:dyDescent="0.5">
      <c r="A74" s="403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5" customHeight="1" thickBot="1" x14ac:dyDescent="0.5">
      <c r="A75" s="403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5" customHeight="1" thickBot="1" x14ac:dyDescent="0.5">
      <c r="A76" s="403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5" customHeight="1" thickBot="1" x14ac:dyDescent="0.5">
      <c r="A77" s="403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5" customHeight="1" thickBot="1" x14ac:dyDescent="0.5">
      <c r="A78" s="403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5" customHeight="1" thickBot="1" x14ac:dyDescent="0.5">
      <c r="A79" s="403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5" customHeight="1" thickBot="1" x14ac:dyDescent="0.5">
      <c r="A80" s="403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5" customHeight="1" thickBot="1" x14ac:dyDescent="0.5">
      <c r="A81" s="403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5" customHeight="1" thickBot="1" x14ac:dyDescent="0.5">
      <c r="A82" s="403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5" customHeight="1" thickBot="1" x14ac:dyDescent="0.5">
      <c r="A83" s="403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5" customHeight="1" thickBot="1" x14ac:dyDescent="0.5">
      <c r="A84" s="403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5" customHeight="1" thickBot="1" x14ac:dyDescent="0.5">
      <c r="A85" s="403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5" customHeight="1" thickBot="1" x14ac:dyDescent="0.5">
      <c r="A86" s="403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5" customHeight="1" thickBot="1" x14ac:dyDescent="0.5">
      <c r="A87" s="403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5" customHeight="1" thickBot="1" x14ac:dyDescent="0.5">
      <c r="A88" s="403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5" customHeight="1" thickBot="1" x14ac:dyDescent="0.5">
      <c r="A89" s="403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5" customHeight="1" thickBot="1" x14ac:dyDescent="0.5">
      <c r="A90" s="403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5" customHeight="1" thickBot="1" x14ac:dyDescent="0.5">
      <c r="A91" s="403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5" customHeight="1" thickBot="1" x14ac:dyDescent="0.5">
      <c r="A92" s="403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5" customHeight="1" thickBot="1" x14ac:dyDescent="0.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5" customHeight="1" thickBot="1" x14ac:dyDescent="0.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5" customHeight="1" thickBot="1" x14ac:dyDescent="0.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5" customHeight="1" thickBot="1" x14ac:dyDescent="0.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5" customHeight="1" x14ac:dyDescent="0.45">
      <c r="C97" s="108"/>
      <c r="E97"/>
      <c r="F97"/>
      <c r="G97"/>
      <c r="I97" s="64"/>
      <c r="P97" s="112"/>
    </row>
    <row r="98" spans="2:16" x14ac:dyDescent="0.45">
      <c r="B98" s="289"/>
    </row>
    <row r="99" spans="2:16" x14ac:dyDescent="0.45">
      <c r="B99" s="289"/>
    </row>
    <row r="100" spans="2:16" x14ac:dyDescent="0.45">
      <c r="B100" s="289"/>
    </row>
    <row r="101" spans="2:16" x14ac:dyDescent="0.45">
      <c r="B101" s="289"/>
    </row>
    <row r="102" spans="2:16" x14ac:dyDescent="0.45">
      <c r="B102" s="289"/>
    </row>
    <row r="103" spans="2:16" x14ac:dyDescent="0.45">
      <c r="B103" s="289"/>
    </row>
    <row r="104" spans="2:16" x14ac:dyDescent="0.45">
      <c r="B104" s="289"/>
    </row>
    <row r="105" spans="2:16" x14ac:dyDescent="0.45">
      <c r="B105" s="289"/>
    </row>
    <row r="106" spans="2:16" x14ac:dyDescent="0.45">
      <c r="B106" s="289"/>
    </row>
    <row r="107" spans="2:16" x14ac:dyDescent="0.45">
      <c r="B107" s="289"/>
    </row>
    <row r="108" spans="2:16" x14ac:dyDescent="0.45">
      <c r="B108" s="289"/>
    </row>
    <row r="109" spans="2:16" x14ac:dyDescent="0.45">
      <c r="B109" s="289"/>
    </row>
    <row r="110" spans="2:16" x14ac:dyDescent="0.45">
      <c r="B110" s="289"/>
    </row>
    <row r="111" spans="2:16" x14ac:dyDescent="0.45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S460"/>
  <sheetViews>
    <sheetView workbookViewId="0">
      <selection activeCell="N18" sqref="N18"/>
    </sheetView>
  </sheetViews>
  <sheetFormatPr defaultColWidth="9.1328125" defaultRowHeight="14.25" x14ac:dyDescent="0.45"/>
  <cols>
    <col min="1" max="1" width="36.33203125" style="1" customWidth="1"/>
    <col min="2" max="2" width="10.53125" style="1" customWidth="1"/>
    <col min="3" max="3" width="4.53125" style="1" customWidth="1"/>
    <col min="4" max="4" width="4.6640625" style="15" customWidth="1"/>
    <col min="5" max="5" width="12" style="1" bestFit="1" customWidth="1"/>
    <col min="6" max="6" width="10.53125" style="1" customWidth="1"/>
    <col min="7" max="7" width="9" style="1" customWidth="1"/>
    <col min="8" max="8" width="9.46484375" style="1" customWidth="1"/>
    <col min="9" max="9" width="10.53125" style="1" customWidth="1"/>
    <col min="10" max="10" width="9.46484375" style="1" customWidth="1"/>
    <col min="11" max="11" width="10.33203125" style="1" customWidth="1"/>
    <col min="12" max="12" width="8.86328125" customWidth="1"/>
    <col min="13" max="18" width="9.1328125" style="1"/>
    <col min="19" max="19" width="10.33203125" style="1" bestFit="1" customWidth="1"/>
    <col min="20" max="16384" width="9.1328125" style="1"/>
  </cols>
  <sheetData>
    <row r="2" spans="1:18" ht="15.4" x14ac:dyDescent="0.45">
      <c r="P2" s="25"/>
      <c r="Q2" s="26"/>
    </row>
    <row r="4" spans="1:18" ht="15.4" x14ac:dyDescent="0.45">
      <c r="P4" s="27"/>
      <c r="Q4" s="28"/>
    </row>
    <row r="5" spans="1:18" ht="14.65" thickBot="1" x14ac:dyDescent="0.5"/>
    <row r="6" spans="1:18" x14ac:dyDescent="0.45">
      <c r="A6" s="4"/>
      <c r="B6" s="5"/>
      <c r="C6" s="5"/>
      <c r="D6" s="55"/>
      <c r="E6" s="404" t="s">
        <v>0</v>
      </c>
      <c r="F6" s="411" t="s">
        <v>1</v>
      </c>
      <c r="G6" s="412"/>
      <c r="H6" s="413"/>
      <c r="I6" s="411" t="s">
        <v>5</v>
      </c>
      <c r="J6" s="412"/>
      <c r="K6" s="413"/>
      <c r="P6" s="414" t="s">
        <v>27</v>
      </c>
      <c r="Q6" s="415" t="s">
        <v>28</v>
      </c>
      <c r="R6" s="415"/>
    </row>
    <row r="7" spans="1:18" ht="14.65" thickBot="1" x14ac:dyDescent="0.5">
      <c r="A7" s="11"/>
      <c r="B7" s="12"/>
      <c r="C7" s="12"/>
      <c r="D7" s="56"/>
      <c r="E7" s="405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14"/>
      <c r="Q7" s="22" t="s">
        <v>29</v>
      </c>
      <c r="R7" s="22" t="s">
        <v>30</v>
      </c>
    </row>
    <row r="8" spans="1:18" s="103" customFormat="1" ht="15" customHeight="1" x14ac:dyDescent="0.45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45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45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45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45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45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45">
      <c r="A14" s="409" t="s">
        <v>240</v>
      </c>
      <c r="B14" s="407" t="s">
        <v>195</v>
      </c>
      <c r="C14" s="407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45">
      <c r="A15" s="410"/>
      <c r="B15" s="407"/>
      <c r="C15" s="407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45">
      <c r="A16" s="410"/>
      <c r="B16" s="407" t="s">
        <v>196</v>
      </c>
      <c r="C16" s="407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45">
      <c r="A17" s="410"/>
      <c r="B17" s="407"/>
      <c r="C17" s="407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45">
      <c r="A18" s="409" t="s">
        <v>241</v>
      </c>
      <c r="B18" s="407" t="s">
        <v>195</v>
      </c>
      <c r="C18" s="407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45">
      <c r="A19" s="410"/>
      <c r="B19" s="407"/>
      <c r="C19" s="407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45">
      <c r="A20" s="410"/>
      <c r="B20" s="407" t="s">
        <v>196</v>
      </c>
      <c r="C20" s="407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45">
      <c r="A21" s="410"/>
      <c r="B21" s="407"/>
      <c r="C21" s="407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45">
      <c r="A22" s="136"/>
      <c r="B22" s="406" t="s">
        <v>239</v>
      </c>
      <c r="C22" s="407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45">
      <c r="A23" s="145"/>
      <c r="B23" s="408"/>
      <c r="C23" s="408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45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45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45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45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45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45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45">
      <c r="A30" s="409" t="s">
        <v>240</v>
      </c>
      <c r="B30" s="407" t="s">
        <v>195</v>
      </c>
      <c r="C30" s="407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45">
      <c r="A31" s="410"/>
      <c r="B31" s="407"/>
      <c r="C31" s="407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45">
      <c r="A32" s="410"/>
      <c r="B32" s="407" t="s">
        <v>196</v>
      </c>
      <c r="C32" s="407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45">
      <c r="A33" s="410"/>
      <c r="B33" s="407"/>
      <c r="C33" s="407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45">
      <c r="A34" s="409" t="s">
        <v>241</v>
      </c>
      <c r="B34" s="407" t="s">
        <v>195</v>
      </c>
      <c r="C34" s="407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45">
      <c r="A35" s="410"/>
      <c r="B35" s="407"/>
      <c r="C35" s="407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45">
      <c r="A36" s="410"/>
      <c r="B36" s="407" t="s">
        <v>196</v>
      </c>
      <c r="C36" s="407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45">
      <c r="A37" s="410"/>
      <c r="B37" s="407"/>
      <c r="C37" s="407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45">
      <c r="A38" s="136"/>
      <c r="B38" s="406" t="s">
        <v>239</v>
      </c>
      <c r="C38" s="407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45">
      <c r="A39" s="145"/>
      <c r="B39" s="408"/>
      <c r="C39" s="408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45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45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45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45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45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45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45">
      <c r="A46" s="409" t="s">
        <v>240</v>
      </c>
      <c r="B46" s="407" t="s">
        <v>195</v>
      </c>
      <c r="C46" s="407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45">
      <c r="A47" s="410"/>
      <c r="B47" s="407"/>
      <c r="C47" s="407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45">
      <c r="A48" s="410"/>
      <c r="B48" s="407" t="s">
        <v>196</v>
      </c>
      <c r="C48" s="407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45">
      <c r="A49" s="410"/>
      <c r="B49" s="407"/>
      <c r="C49" s="407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45">
      <c r="A50" s="409" t="s">
        <v>241</v>
      </c>
      <c r="B50" s="407" t="s">
        <v>195</v>
      </c>
      <c r="C50" s="407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45">
      <c r="A51" s="410"/>
      <c r="B51" s="407"/>
      <c r="C51" s="407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45">
      <c r="A52" s="410"/>
      <c r="B52" s="407" t="s">
        <v>196</v>
      </c>
      <c r="C52" s="407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45">
      <c r="A53" s="410"/>
      <c r="B53" s="407"/>
      <c r="C53" s="407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45">
      <c r="A54" s="136"/>
      <c r="B54" s="406" t="s">
        <v>239</v>
      </c>
      <c r="C54" s="407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45">
      <c r="A55" s="145"/>
      <c r="B55" s="408"/>
      <c r="C55" s="408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45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45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45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45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45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45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45">
      <c r="A62" s="409" t="s">
        <v>240</v>
      </c>
      <c r="B62" s="407" t="s">
        <v>195</v>
      </c>
      <c r="C62" s="407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45">
      <c r="A63" s="410"/>
      <c r="B63" s="407"/>
      <c r="C63" s="407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45">
      <c r="A64" s="410"/>
      <c r="B64" s="407" t="s">
        <v>196</v>
      </c>
      <c r="C64" s="407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45">
      <c r="A65" s="410"/>
      <c r="B65" s="407"/>
      <c r="C65" s="407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45">
      <c r="A66" s="409" t="s">
        <v>241</v>
      </c>
      <c r="B66" s="407" t="s">
        <v>195</v>
      </c>
      <c r="C66" s="407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45">
      <c r="A67" s="410"/>
      <c r="B67" s="407"/>
      <c r="C67" s="407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45">
      <c r="A68" s="410"/>
      <c r="B68" s="407" t="s">
        <v>196</v>
      </c>
      <c r="C68" s="407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45">
      <c r="A69" s="410"/>
      <c r="B69" s="407"/>
      <c r="C69" s="407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45">
      <c r="A70" s="136"/>
      <c r="B70" s="406" t="s">
        <v>239</v>
      </c>
      <c r="C70" s="407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45">
      <c r="A71" s="145"/>
      <c r="B71" s="408"/>
      <c r="C71" s="408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45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45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45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45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45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45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45">
      <c r="A78" s="409" t="s">
        <v>240</v>
      </c>
      <c r="B78" s="407" t="s">
        <v>195</v>
      </c>
      <c r="C78" s="407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45">
      <c r="A79" s="410"/>
      <c r="B79" s="407"/>
      <c r="C79" s="407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45">
      <c r="A80" s="410"/>
      <c r="B80" s="407" t="s">
        <v>196</v>
      </c>
      <c r="C80" s="407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45">
      <c r="A81" s="410"/>
      <c r="B81" s="407"/>
      <c r="C81" s="407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45">
      <c r="A82" s="409" t="s">
        <v>241</v>
      </c>
      <c r="B82" s="407" t="s">
        <v>195</v>
      </c>
      <c r="C82" s="407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45">
      <c r="A83" s="410"/>
      <c r="B83" s="407"/>
      <c r="C83" s="407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45">
      <c r="A84" s="410"/>
      <c r="B84" s="407" t="s">
        <v>196</v>
      </c>
      <c r="C84" s="407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45">
      <c r="A85" s="410"/>
      <c r="B85" s="407"/>
      <c r="C85" s="407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45">
      <c r="A86" s="136"/>
      <c r="B86" s="406" t="s">
        <v>239</v>
      </c>
      <c r="C86" s="407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45">
      <c r="A87" s="145"/>
      <c r="B87" s="408"/>
      <c r="C87" s="408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45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45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45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45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45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45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45">
      <c r="A94" s="409" t="s">
        <v>240</v>
      </c>
      <c r="B94" s="407" t="s">
        <v>195</v>
      </c>
      <c r="C94" s="407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45">
      <c r="A95" s="410"/>
      <c r="B95" s="407"/>
      <c r="C95" s="407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45">
      <c r="A96" s="410"/>
      <c r="B96" s="407" t="s">
        <v>196</v>
      </c>
      <c r="C96" s="407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45">
      <c r="A97" s="410"/>
      <c r="B97" s="407"/>
      <c r="C97" s="407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45">
      <c r="A98" s="409" t="s">
        <v>241</v>
      </c>
      <c r="B98" s="407" t="s">
        <v>195</v>
      </c>
      <c r="C98" s="407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45">
      <c r="A99" s="410"/>
      <c r="B99" s="407"/>
      <c r="C99" s="407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45">
      <c r="A100" s="410"/>
      <c r="B100" s="407" t="s">
        <v>196</v>
      </c>
      <c r="C100" s="407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45">
      <c r="A101" s="410"/>
      <c r="B101" s="407"/>
      <c r="C101" s="407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45">
      <c r="A102" s="136"/>
      <c r="B102" s="406" t="s">
        <v>239</v>
      </c>
      <c r="C102" s="407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45">
      <c r="A103" s="145"/>
      <c r="B103" s="408"/>
      <c r="C103" s="408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45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45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45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45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45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45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45">
      <c r="A110" s="409" t="s">
        <v>240</v>
      </c>
      <c r="B110" s="407" t="s">
        <v>195</v>
      </c>
      <c r="C110" s="407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45">
      <c r="A111" s="410"/>
      <c r="B111" s="407"/>
      <c r="C111" s="407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45">
      <c r="A112" s="410"/>
      <c r="B112" s="407" t="s">
        <v>196</v>
      </c>
      <c r="C112" s="407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45">
      <c r="A113" s="410"/>
      <c r="B113" s="407"/>
      <c r="C113" s="407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45">
      <c r="A114" s="409" t="s">
        <v>241</v>
      </c>
      <c r="B114" s="407" t="s">
        <v>195</v>
      </c>
      <c r="C114" s="407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45">
      <c r="A115" s="410"/>
      <c r="B115" s="407"/>
      <c r="C115" s="407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45">
      <c r="A116" s="410"/>
      <c r="B116" s="407" t="s">
        <v>196</v>
      </c>
      <c r="C116" s="407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45">
      <c r="A117" s="410"/>
      <c r="B117" s="407"/>
      <c r="C117" s="407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45">
      <c r="A118" s="136"/>
      <c r="B118" s="406" t="s">
        <v>239</v>
      </c>
      <c r="C118" s="407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45">
      <c r="A119" s="145"/>
      <c r="B119" s="408"/>
      <c r="C119" s="408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45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45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45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45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45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45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45">
      <c r="A126" s="409" t="s">
        <v>240</v>
      </c>
      <c r="B126" s="407" t="s">
        <v>195</v>
      </c>
      <c r="C126" s="407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45">
      <c r="A127" s="410"/>
      <c r="B127" s="407"/>
      <c r="C127" s="407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45">
      <c r="A128" s="410"/>
      <c r="B128" s="407" t="s">
        <v>196</v>
      </c>
      <c r="C128" s="407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45">
      <c r="A129" s="410"/>
      <c r="B129" s="407"/>
      <c r="C129" s="407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45">
      <c r="A130" s="409" t="s">
        <v>241</v>
      </c>
      <c r="B130" s="407" t="s">
        <v>195</v>
      </c>
      <c r="C130" s="407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45">
      <c r="A131" s="410"/>
      <c r="B131" s="407"/>
      <c r="C131" s="407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45">
      <c r="A132" s="410"/>
      <c r="B132" s="407" t="s">
        <v>196</v>
      </c>
      <c r="C132" s="407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45">
      <c r="A133" s="410"/>
      <c r="B133" s="407"/>
      <c r="C133" s="407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45">
      <c r="A134" s="136"/>
      <c r="B134" s="406" t="s">
        <v>239</v>
      </c>
      <c r="C134" s="407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45">
      <c r="A135" s="145"/>
      <c r="B135" s="408"/>
      <c r="C135" s="408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45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45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45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45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45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45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45">
      <c r="A142" s="409" t="s">
        <v>240</v>
      </c>
      <c r="B142" s="407" t="s">
        <v>195</v>
      </c>
      <c r="C142" s="407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45">
      <c r="A143" s="410"/>
      <c r="B143" s="407"/>
      <c r="C143" s="407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45">
      <c r="A144" s="410"/>
      <c r="B144" s="407" t="s">
        <v>196</v>
      </c>
      <c r="C144" s="407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45">
      <c r="A145" s="410"/>
      <c r="B145" s="407"/>
      <c r="C145" s="407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45">
      <c r="A146" s="409" t="s">
        <v>241</v>
      </c>
      <c r="B146" s="407" t="s">
        <v>195</v>
      </c>
      <c r="C146" s="407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45">
      <c r="A147" s="410"/>
      <c r="B147" s="407"/>
      <c r="C147" s="407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45">
      <c r="A148" s="410"/>
      <c r="B148" s="407" t="s">
        <v>196</v>
      </c>
      <c r="C148" s="407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45">
      <c r="A149" s="410"/>
      <c r="B149" s="407"/>
      <c r="C149" s="407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45">
      <c r="A150" s="136"/>
      <c r="B150" s="406" t="s">
        <v>239</v>
      </c>
      <c r="C150" s="407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45">
      <c r="A151" s="145"/>
      <c r="B151" s="408"/>
      <c r="C151" s="408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45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45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45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45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45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45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45">
      <c r="A158" s="409" t="s">
        <v>240</v>
      </c>
      <c r="B158" s="407" t="s">
        <v>195</v>
      </c>
      <c r="C158" s="407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45">
      <c r="A159" s="410"/>
      <c r="B159" s="407"/>
      <c r="C159" s="407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45">
      <c r="A160" s="410"/>
      <c r="B160" s="407" t="s">
        <v>196</v>
      </c>
      <c r="C160" s="407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45">
      <c r="A161" s="410"/>
      <c r="B161" s="407"/>
      <c r="C161" s="407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45">
      <c r="A162" s="409" t="s">
        <v>241</v>
      </c>
      <c r="B162" s="407" t="s">
        <v>195</v>
      </c>
      <c r="C162" s="407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45">
      <c r="A163" s="410"/>
      <c r="B163" s="407"/>
      <c r="C163" s="407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45">
      <c r="A164" s="410"/>
      <c r="B164" s="407" t="s">
        <v>196</v>
      </c>
      <c r="C164" s="407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45">
      <c r="A165" s="410"/>
      <c r="B165" s="407"/>
      <c r="C165" s="407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45">
      <c r="A166" s="136"/>
      <c r="B166" s="406" t="s">
        <v>239</v>
      </c>
      <c r="C166" s="407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45">
      <c r="A167" s="145"/>
      <c r="B167" s="408"/>
      <c r="C167" s="408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45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45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45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45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45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45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45">
      <c r="A174" s="409" t="s">
        <v>240</v>
      </c>
      <c r="B174" s="407" t="s">
        <v>195</v>
      </c>
      <c r="C174" s="407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45">
      <c r="A175" s="410"/>
      <c r="B175" s="407"/>
      <c r="C175" s="407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45">
      <c r="A176" s="410"/>
      <c r="B176" s="407" t="s">
        <v>196</v>
      </c>
      <c r="C176" s="407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45">
      <c r="A177" s="410"/>
      <c r="B177" s="407"/>
      <c r="C177" s="407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45">
      <c r="A178" s="409" t="s">
        <v>241</v>
      </c>
      <c r="B178" s="407" t="s">
        <v>195</v>
      </c>
      <c r="C178" s="407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45">
      <c r="A179" s="410"/>
      <c r="B179" s="407"/>
      <c r="C179" s="407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45">
      <c r="A180" s="410"/>
      <c r="B180" s="407" t="s">
        <v>196</v>
      </c>
      <c r="C180" s="407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45">
      <c r="A181" s="410"/>
      <c r="B181" s="407"/>
      <c r="C181" s="407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45">
      <c r="A182" s="136"/>
      <c r="B182" s="406" t="s">
        <v>239</v>
      </c>
      <c r="C182" s="407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45">
      <c r="A183" s="145"/>
      <c r="B183" s="408"/>
      <c r="C183" s="408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45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45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45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45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45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45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45">
      <c r="A190" s="409" t="s">
        <v>240</v>
      </c>
      <c r="B190" s="407" t="s">
        <v>195</v>
      </c>
      <c r="C190" s="407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45">
      <c r="A191" s="410"/>
      <c r="B191" s="407"/>
      <c r="C191" s="407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45">
      <c r="A192" s="410"/>
      <c r="B192" s="407" t="s">
        <v>196</v>
      </c>
      <c r="C192" s="407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45">
      <c r="A193" s="410"/>
      <c r="B193" s="407"/>
      <c r="C193" s="407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45">
      <c r="A194" s="409" t="s">
        <v>241</v>
      </c>
      <c r="B194" s="407" t="s">
        <v>195</v>
      </c>
      <c r="C194" s="407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45">
      <c r="A195" s="410"/>
      <c r="B195" s="407"/>
      <c r="C195" s="407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45">
      <c r="A196" s="410"/>
      <c r="B196" s="407" t="s">
        <v>196</v>
      </c>
      <c r="C196" s="407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45">
      <c r="A197" s="410"/>
      <c r="B197" s="407"/>
      <c r="C197" s="407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45">
      <c r="A198" s="136"/>
      <c r="B198" s="406" t="s">
        <v>239</v>
      </c>
      <c r="C198" s="407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45">
      <c r="A199" s="145"/>
      <c r="B199" s="408"/>
      <c r="C199" s="408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45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45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45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45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45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45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45">
      <c r="A206" s="409" t="s">
        <v>240</v>
      </c>
      <c r="B206" s="407" t="s">
        <v>195</v>
      </c>
      <c r="C206" s="407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45">
      <c r="A207" s="410"/>
      <c r="B207" s="407"/>
      <c r="C207" s="407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45">
      <c r="A208" s="410"/>
      <c r="B208" s="407" t="s">
        <v>196</v>
      </c>
      <c r="C208" s="407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45">
      <c r="A209" s="410"/>
      <c r="B209" s="407"/>
      <c r="C209" s="407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45">
      <c r="A210" s="409" t="s">
        <v>241</v>
      </c>
      <c r="B210" s="407" t="s">
        <v>195</v>
      </c>
      <c r="C210" s="407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45">
      <c r="A211" s="410"/>
      <c r="B211" s="407"/>
      <c r="C211" s="407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45">
      <c r="A212" s="410"/>
      <c r="B212" s="407" t="s">
        <v>196</v>
      </c>
      <c r="C212" s="407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45">
      <c r="A213" s="410"/>
      <c r="B213" s="407"/>
      <c r="C213" s="407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45">
      <c r="A214" s="136"/>
      <c r="B214" s="406" t="s">
        <v>239</v>
      </c>
      <c r="C214" s="407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45">
      <c r="A215" s="145"/>
      <c r="B215" s="408"/>
      <c r="C215" s="408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45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45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45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45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45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45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45">
      <c r="A222" s="409" t="s">
        <v>240</v>
      </c>
      <c r="B222" s="407" t="s">
        <v>195</v>
      </c>
      <c r="C222" s="407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45">
      <c r="A223" s="410"/>
      <c r="B223" s="407"/>
      <c r="C223" s="407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45">
      <c r="A224" s="410"/>
      <c r="B224" s="407" t="s">
        <v>196</v>
      </c>
      <c r="C224" s="407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45">
      <c r="A225" s="410"/>
      <c r="B225" s="407"/>
      <c r="C225" s="407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45">
      <c r="A226" s="409" t="s">
        <v>241</v>
      </c>
      <c r="B226" s="407" t="s">
        <v>195</v>
      </c>
      <c r="C226" s="407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45">
      <c r="A227" s="410"/>
      <c r="B227" s="407"/>
      <c r="C227" s="407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45">
      <c r="A228" s="410"/>
      <c r="B228" s="407" t="s">
        <v>196</v>
      </c>
      <c r="C228" s="407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45">
      <c r="A229" s="410"/>
      <c r="B229" s="407"/>
      <c r="C229" s="407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45">
      <c r="A230" s="136"/>
      <c r="B230" s="406" t="s">
        <v>239</v>
      </c>
      <c r="C230" s="407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45">
      <c r="A231" s="145"/>
      <c r="B231" s="408"/>
      <c r="C231" s="408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45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45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45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45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45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45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45">
      <c r="A238" s="409" t="s">
        <v>240</v>
      </c>
      <c r="B238" s="407" t="s">
        <v>195</v>
      </c>
      <c r="C238" s="407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45">
      <c r="A239" s="410"/>
      <c r="B239" s="407"/>
      <c r="C239" s="407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45">
      <c r="A240" s="410"/>
      <c r="B240" s="407" t="s">
        <v>196</v>
      </c>
      <c r="C240" s="407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45">
      <c r="A241" s="410"/>
      <c r="B241" s="407"/>
      <c r="C241" s="407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45">
      <c r="A242" s="409" t="s">
        <v>241</v>
      </c>
      <c r="B242" s="407" t="s">
        <v>195</v>
      </c>
      <c r="C242" s="407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45">
      <c r="A243" s="410"/>
      <c r="B243" s="407"/>
      <c r="C243" s="407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45">
      <c r="A244" s="410"/>
      <c r="B244" s="407" t="s">
        <v>196</v>
      </c>
      <c r="C244" s="407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45">
      <c r="A245" s="410"/>
      <c r="B245" s="407"/>
      <c r="C245" s="407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45">
      <c r="A246" s="136"/>
      <c r="B246" s="406" t="s">
        <v>239</v>
      </c>
      <c r="C246" s="407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45">
      <c r="A247" s="145"/>
      <c r="B247" s="408"/>
      <c r="C247" s="408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45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45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45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45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45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45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45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45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45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45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45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45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45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45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45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45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45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45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45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45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45">
      <c r="A269" s="401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45">
      <c r="A270" s="401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45">
      <c r="A271" s="401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45">
      <c r="A272" s="401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45">
      <c r="A273" s="401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45">
      <c r="A274" s="401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45">
      <c r="A275" s="401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45">
      <c r="A276" s="401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45">
      <c r="A277" s="401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45">
      <c r="A278" s="401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45">
      <c r="A279" s="401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45">
      <c r="A280" s="401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45">
      <c r="A281" s="401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45">
      <c r="A282" s="401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45">
      <c r="A283" s="401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45">
      <c r="A284" s="401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45">
      <c r="A285" s="401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45">
      <c r="A286" s="401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45">
      <c r="A287" s="401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45">
      <c r="A288" s="401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45">
      <c r="A289" s="401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45">
      <c r="A290" s="401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45">
      <c r="A291" s="401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45">
      <c r="A292" s="401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45">
      <c r="A293" s="401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45">
      <c r="A294" s="401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45">
      <c r="A295" s="401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45">
      <c r="A296" s="401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45">
      <c r="A297" s="401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45">
      <c r="A298" s="401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45">
      <c r="A299" s="401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45">
      <c r="A300" s="401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45">
      <c r="A301" s="401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45">
      <c r="A302" s="401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45">
      <c r="A303" s="401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45">
      <c r="A304" s="401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45">
      <c r="A305" s="401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45">
      <c r="A306" s="401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45">
      <c r="A307" s="401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45">
      <c r="A308" s="401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45">
      <c r="A309" s="401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45">
      <c r="A310" s="401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45">
      <c r="A311" s="401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45">
      <c r="A312" s="401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45">
      <c r="A313" s="401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5">
      <c r="A314" s="402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45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45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45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45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45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45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45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45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45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45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45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45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45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45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45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45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45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45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45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45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45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45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45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45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45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45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45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45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45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45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45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45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45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45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45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45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45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45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45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45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45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45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45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45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45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45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45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45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45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45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45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45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45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45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45">
      <c r="A370" s="401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45">
      <c r="A371" s="401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45">
      <c r="A372" s="401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45">
      <c r="A373" s="401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45">
      <c r="A374" s="401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45">
      <c r="A375" s="401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45">
      <c r="A376" s="401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45">
      <c r="A377" s="401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45">
      <c r="A378" s="401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45">
      <c r="A379" s="401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45">
      <c r="A380" s="401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45">
      <c r="A381" s="401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45">
      <c r="A382" s="401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45">
      <c r="A383" s="401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45">
      <c r="A384" s="401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45">
      <c r="A385" s="401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45">
      <c r="A386" s="401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45">
      <c r="A387" s="401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45">
      <c r="A388" s="401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45">
      <c r="A389" s="401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45">
      <c r="A390" s="401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45">
      <c r="A391" s="401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45">
      <c r="A392" s="401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45">
      <c r="A393" s="401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45">
      <c r="A394" s="401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45">
      <c r="A395" s="401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45">
      <c r="A396" s="401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45">
      <c r="A397" s="401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45">
      <c r="A398" s="401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45">
      <c r="A399" s="401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45">
      <c r="A400" s="401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45">
      <c r="A401" s="401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45">
      <c r="A402" s="401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45">
      <c r="A403" s="401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45">
      <c r="A404" s="401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45">
      <c r="A405" s="401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45">
      <c r="A406" s="401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45">
      <c r="A407" s="401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45">
      <c r="A408" s="401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45">
      <c r="A409" s="401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45">
      <c r="A410" s="401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45">
      <c r="A411" s="401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45">
      <c r="A412" s="401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45">
      <c r="A413" s="401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45">
      <c r="A414" s="401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45">
      <c r="A415" s="401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45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45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45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45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45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45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45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45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45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45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45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45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45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45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45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45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45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45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45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45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45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45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45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45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45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45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45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45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45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45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45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45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45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45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45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45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45">
      <c r="P454" s="124">
        <f t="shared" si="66"/>
        <v>0</v>
      </c>
    </row>
    <row r="455" spans="1:18" x14ac:dyDescent="0.45">
      <c r="P455" s="124">
        <f t="shared" si="66"/>
        <v>0</v>
      </c>
    </row>
    <row r="456" spans="1:18" x14ac:dyDescent="0.45">
      <c r="P456" s="124">
        <f t="shared" si="66"/>
        <v>0</v>
      </c>
    </row>
    <row r="457" spans="1:18" x14ac:dyDescent="0.45">
      <c r="P457" s="124">
        <f t="shared" si="66"/>
        <v>0</v>
      </c>
    </row>
    <row r="460" spans="1:18" ht="15.6" customHeight="1" x14ac:dyDescent="0.45"/>
  </sheetData>
  <mergeCells count="124"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J49"/>
  <sheetViews>
    <sheetView workbookViewId="0">
      <selection activeCell="A35" sqref="A35:IV35"/>
    </sheetView>
  </sheetViews>
  <sheetFormatPr defaultColWidth="9.1328125" defaultRowHeight="14.25" x14ac:dyDescent="0.45"/>
  <cols>
    <col min="1" max="1" width="8.53125" style="1" customWidth="1"/>
    <col min="2" max="2" width="51.46484375" style="1" customWidth="1"/>
    <col min="3" max="3" width="11.46484375" style="1" customWidth="1"/>
    <col min="4" max="9" width="9.1328125" style="1"/>
    <col min="10" max="10" width="27.6640625" style="1" bestFit="1" customWidth="1"/>
    <col min="11" max="16384" width="9.1328125" style="1"/>
  </cols>
  <sheetData>
    <row r="2" spans="2:10" ht="14.65" thickBot="1" x14ac:dyDescent="0.5"/>
    <row r="3" spans="2:10" x14ac:dyDescent="0.45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4.65" thickBot="1" x14ac:dyDescent="0.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45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45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45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45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45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45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45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45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45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5" x14ac:dyDescent="0.45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45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45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45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45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45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45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45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45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45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45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45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45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45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45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45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5" x14ac:dyDescent="0.45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45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45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45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45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45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45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45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45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45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45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45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45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45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45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45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45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45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45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4.65" thickBot="1" x14ac:dyDescent="0.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Q124"/>
  <sheetViews>
    <sheetView topLeftCell="A17" workbookViewId="0">
      <selection activeCell="G23" sqref="G23"/>
    </sheetView>
  </sheetViews>
  <sheetFormatPr defaultColWidth="9.1328125" defaultRowHeight="14.25" x14ac:dyDescent="0.45"/>
  <cols>
    <col min="1" max="1" width="31.53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328125" style="1"/>
    <col min="12" max="12" width="10.33203125" style="1" bestFit="1" customWidth="1"/>
    <col min="13" max="16384" width="9.1328125" style="1"/>
  </cols>
  <sheetData>
    <row r="2" spans="1:17" ht="15.4" x14ac:dyDescent="0.45">
      <c r="O2" s="25"/>
      <c r="P2" s="26"/>
    </row>
    <row r="3" spans="1:17" ht="18.75" x14ac:dyDescent="0.7">
      <c r="A3" s="238"/>
      <c r="B3" s="239"/>
    </row>
    <row r="4" spans="1:17" ht="15.4" x14ac:dyDescent="0.45">
      <c r="O4" s="27"/>
      <c r="P4" s="28"/>
    </row>
    <row r="5" spans="1:17" ht="14.65" thickBot="1" x14ac:dyDescent="0.5"/>
    <row r="6" spans="1:17" x14ac:dyDescent="0.45">
      <c r="A6" s="4"/>
      <c r="B6" s="5"/>
      <c r="C6" s="5"/>
      <c r="D6" s="55"/>
      <c r="E6" s="404" t="s">
        <v>0</v>
      </c>
      <c r="F6" s="411" t="s">
        <v>1</v>
      </c>
      <c r="G6" s="412"/>
      <c r="H6" s="413"/>
      <c r="I6" s="411" t="s">
        <v>5</v>
      </c>
      <c r="J6" s="412"/>
      <c r="K6" s="413"/>
      <c r="O6" s="414" t="s">
        <v>27</v>
      </c>
      <c r="P6" s="415" t="s">
        <v>28</v>
      </c>
      <c r="Q6" s="415"/>
    </row>
    <row r="7" spans="1:17" ht="14.65" thickBot="1" x14ac:dyDescent="0.5">
      <c r="A7" s="11"/>
      <c r="B7" s="12"/>
      <c r="C7" s="12"/>
      <c r="D7" s="56"/>
      <c r="E7" s="405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14"/>
      <c r="P7" s="22" t="s">
        <v>29</v>
      </c>
      <c r="Q7" s="22" t="s">
        <v>30</v>
      </c>
    </row>
    <row r="8" spans="1:17" ht="15.4" x14ac:dyDescent="0.45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4" x14ac:dyDescent="0.45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5.75" thickBot="1" x14ac:dyDescent="0.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4" x14ac:dyDescent="0.45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4" x14ac:dyDescent="0.45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15" x14ac:dyDescent="0.45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4" x14ac:dyDescent="0.4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4" x14ac:dyDescent="0.4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4" x14ac:dyDescent="0.4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4" x14ac:dyDescent="0.4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4" x14ac:dyDescent="0.4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4" x14ac:dyDescent="0.4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4" x14ac:dyDescent="0.4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4" x14ac:dyDescent="0.4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4" x14ac:dyDescent="0.4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4" x14ac:dyDescent="0.4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4" x14ac:dyDescent="0.4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4" x14ac:dyDescent="0.4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4" x14ac:dyDescent="0.4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4" x14ac:dyDescent="0.4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4" x14ac:dyDescent="0.4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4" x14ac:dyDescent="0.4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4" x14ac:dyDescent="0.4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4" x14ac:dyDescent="0.4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4" x14ac:dyDescent="0.4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4" x14ac:dyDescent="0.4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4" x14ac:dyDescent="0.4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4" x14ac:dyDescent="0.4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4" x14ac:dyDescent="0.4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4" x14ac:dyDescent="0.4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4" x14ac:dyDescent="0.4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4" x14ac:dyDescent="0.4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4" x14ac:dyDescent="0.4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4" x14ac:dyDescent="0.4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4" x14ac:dyDescent="0.4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4" x14ac:dyDescent="0.4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4" x14ac:dyDescent="0.4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4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4" x14ac:dyDescent="0.45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4" x14ac:dyDescent="0.45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15" x14ac:dyDescent="0.45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4" x14ac:dyDescent="0.4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4" x14ac:dyDescent="0.4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4" x14ac:dyDescent="0.4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4" x14ac:dyDescent="0.4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4" x14ac:dyDescent="0.4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4" x14ac:dyDescent="0.4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4" x14ac:dyDescent="0.4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4" x14ac:dyDescent="0.4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4" x14ac:dyDescent="0.4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4" x14ac:dyDescent="0.4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4" x14ac:dyDescent="0.4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4" x14ac:dyDescent="0.4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4" x14ac:dyDescent="0.4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4" x14ac:dyDescent="0.4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4" x14ac:dyDescent="0.4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4" x14ac:dyDescent="0.4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4" x14ac:dyDescent="0.4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4" x14ac:dyDescent="0.4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4" x14ac:dyDescent="0.4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4" x14ac:dyDescent="0.4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4" x14ac:dyDescent="0.4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4" x14ac:dyDescent="0.4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4" x14ac:dyDescent="0.4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4" x14ac:dyDescent="0.4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4" x14ac:dyDescent="0.4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4" x14ac:dyDescent="0.4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4" x14ac:dyDescent="0.4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4" x14ac:dyDescent="0.4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4" x14ac:dyDescent="0.4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4" x14ac:dyDescent="0.4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4" x14ac:dyDescent="0.4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4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45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45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45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4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4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4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4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4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4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4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4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4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4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4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4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4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4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4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4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4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4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4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4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4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4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4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4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4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4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4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4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4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4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4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4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4" x14ac:dyDescent="0.45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4" x14ac:dyDescent="0.45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4" x14ac:dyDescent="0.45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4.65" thickBot="1" x14ac:dyDescent="0.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45">
      <c r="O120" s="24"/>
    </row>
    <row r="121" spans="1:17" x14ac:dyDescent="0.45">
      <c r="O121" s="24"/>
    </row>
    <row r="122" spans="1:17" x14ac:dyDescent="0.45">
      <c r="O122" s="24"/>
    </row>
    <row r="123" spans="1:17" x14ac:dyDescent="0.45">
      <c r="O123" s="24"/>
    </row>
    <row r="124" spans="1:17" x14ac:dyDescent="0.45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P81"/>
  <sheetViews>
    <sheetView tabSelected="1" zoomScale="85" zoomScaleNormal="85" workbookViewId="0">
      <selection activeCell="O16" sqref="O16"/>
    </sheetView>
  </sheetViews>
  <sheetFormatPr defaultColWidth="9.1328125" defaultRowHeight="14.25" x14ac:dyDescent="0.45"/>
  <cols>
    <col min="1" max="1" width="10.19921875" style="1" customWidth="1"/>
    <col min="2" max="2" width="61" style="1" customWidth="1"/>
    <col min="3" max="3" width="17.33203125" style="1" bestFit="1" customWidth="1"/>
    <col min="4" max="4" width="11.46484375" style="1" customWidth="1"/>
    <col min="5" max="11" width="11.796875" style="1" customWidth="1"/>
    <col min="12" max="12" width="9.1328125" style="1"/>
    <col min="13" max="14" width="9.1328125" style="1" hidden="1" customWidth="1"/>
    <col min="15" max="16384" width="9.1328125" style="1"/>
  </cols>
  <sheetData>
    <row r="1" spans="1:16" x14ac:dyDescent="0.45">
      <c r="K1" s="199" t="s">
        <v>449</v>
      </c>
      <c r="L1" s="1">
        <v>15000</v>
      </c>
    </row>
    <row r="2" spans="1:16" ht="14.65" thickBot="1" x14ac:dyDescent="0.5">
      <c r="K2" s="199" t="s">
        <v>439</v>
      </c>
      <c r="L2" s="1">
        <v>10000</v>
      </c>
    </row>
    <row r="3" spans="1:16" ht="34.799999999999997" customHeight="1" thickBot="1" x14ac:dyDescent="0.5">
      <c r="B3" s="163" t="s">
        <v>404</v>
      </c>
      <c r="C3" s="156"/>
      <c r="D3" s="360" t="s">
        <v>249</v>
      </c>
      <c r="E3" s="315" t="s">
        <v>462</v>
      </c>
      <c r="F3" s="315" t="s">
        <v>463</v>
      </c>
      <c r="G3" s="360" t="s">
        <v>464</v>
      </c>
      <c r="K3" s="199" t="s">
        <v>450</v>
      </c>
      <c r="L3" s="1">
        <v>30000</v>
      </c>
    </row>
    <row r="4" spans="1:16" x14ac:dyDescent="0.45">
      <c r="B4" s="157" t="s">
        <v>454</v>
      </c>
      <c r="C4" s="157"/>
      <c r="D4" s="157"/>
      <c r="E4" s="9" t="s">
        <v>456</v>
      </c>
      <c r="F4" s="9" t="s">
        <v>457</v>
      </c>
      <c r="G4" s="3" t="s">
        <v>458</v>
      </c>
      <c r="K4" s="199" t="s">
        <v>443</v>
      </c>
      <c r="L4" s="1">
        <v>10000</v>
      </c>
    </row>
    <row r="5" spans="1:16" s="246" customFormat="1" x14ac:dyDescent="0.45">
      <c r="A5" s="1"/>
      <c r="B5" s="252" t="s">
        <v>451</v>
      </c>
      <c r="C5" s="252"/>
      <c r="D5" s="252"/>
      <c r="E5" s="374" t="str">
        <f>CONCATENATE("[ARM_ПС.xls]",E4)</f>
        <v>[ARM_ПС.xls]Р1.1</v>
      </c>
      <c r="F5" s="377" t="str">
        <f>CONCATENATE("[ARM_ПС.xls]",F4)</f>
        <v>[ARM_ПС.xls]Р1.2</v>
      </c>
      <c r="G5" s="377" t="str">
        <f>CONCATENATE("[ARM_ПС.xls]",G4)</f>
        <v>[ARM_ПС.xls]Р1.3</v>
      </c>
      <c r="I5" s="1"/>
      <c r="J5" s="1"/>
      <c r="K5" s="199" t="s">
        <v>444</v>
      </c>
      <c r="L5" s="1">
        <v>5000</v>
      </c>
      <c r="M5" s="1"/>
      <c r="N5" s="1"/>
      <c r="O5" s="1"/>
      <c r="P5" s="1"/>
    </row>
    <row r="6" spans="1:16" x14ac:dyDescent="0.45">
      <c r="B6" s="157" t="s">
        <v>455</v>
      </c>
      <c r="C6" s="157"/>
      <c r="D6" s="157"/>
      <c r="E6" s="9" t="s">
        <v>459</v>
      </c>
      <c r="F6" s="9" t="s">
        <v>460</v>
      </c>
      <c r="G6" s="9" t="s">
        <v>461</v>
      </c>
      <c r="I6" s="246"/>
      <c r="J6" s="246"/>
      <c r="K6" s="246"/>
      <c r="L6" s="246"/>
      <c r="M6" s="246"/>
      <c r="N6" s="246"/>
      <c r="O6" s="246"/>
      <c r="P6" s="246"/>
    </row>
    <row r="7" spans="1:16" s="246" customFormat="1" x14ac:dyDescent="0.45">
      <c r="A7" s="1"/>
      <c r="B7" s="252" t="s">
        <v>451</v>
      </c>
      <c r="C7" s="252"/>
      <c r="D7" s="252"/>
      <c r="E7" s="374" t="str">
        <f>CONCATENATE("[ARM_ПС.xls]",E6)</f>
        <v>[ARM_ПС.xls]Ст1.1</v>
      </c>
      <c r="F7" s="377" t="str">
        <f>CONCATENATE("[ARM_ПС.xls]",F6)</f>
        <v>[ARM_ПС.xls]Ст1.2</v>
      </c>
      <c r="G7" s="377" t="str">
        <f>CONCATENATE("[ARM_ПС.xls]",G6)</f>
        <v>[ARM_ПС.xls]Ст1.3</v>
      </c>
      <c r="I7" s="1"/>
      <c r="J7" s="1"/>
      <c r="K7" s="199" t="s">
        <v>444</v>
      </c>
      <c r="L7" s="1">
        <v>5000</v>
      </c>
      <c r="M7" s="1"/>
      <c r="N7" s="1"/>
      <c r="O7" s="1"/>
      <c r="P7" s="1"/>
    </row>
    <row r="8" spans="1:16" x14ac:dyDescent="0.45">
      <c r="B8" s="157" t="s">
        <v>7</v>
      </c>
      <c r="C8" s="157"/>
      <c r="D8" s="157">
        <f>SUM(E8:H8)</f>
        <v>3</v>
      </c>
      <c r="E8" s="9">
        <v>1</v>
      </c>
      <c r="F8" s="3">
        <v>1</v>
      </c>
      <c r="G8" s="379">
        <v>1</v>
      </c>
      <c r="I8" s="246"/>
      <c r="J8" s="246"/>
      <c r="K8" s="246"/>
      <c r="L8" s="246"/>
      <c r="M8" s="246"/>
      <c r="N8" s="246"/>
      <c r="O8" s="246"/>
      <c r="P8" s="246"/>
    </row>
    <row r="9" spans="1:16" x14ac:dyDescent="0.45">
      <c r="B9" s="163" t="s">
        <v>409</v>
      </c>
      <c r="D9" s="163"/>
      <c r="E9" s="376">
        <v>0</v>
      </c>
      <c r="F9" s="378">
        <v>0</v>
      </c>
      <c r="G9" s="386">
        <v>0</v>
      </c>
      <c r="H9" s="10"/>
      <c r="K9" s="199" t="s">
        <v>435</v>
      </c>
      <c r="L9" s="1" t="str">
        <f>E6</f>
        <v>Ст1.1</v>
      </c>
      <c r="M9" s="1" t="str">
        <f>F6</f>
        <v>Ст1.2</v>
      </c>
      <c r="N9" s="1" t="str">
        <f>G6</f>
        <v>Ст1.3</v>
      </c>
    </row>
    <row r="10" spans="1:16" x14ac:dyDescent="0.45">
      <c r="B10" s="364" t="s">
        <v>419</v>
      </c>
      <c r="C10" s="163" t="s">
        <v>465</v>
      </c>
      <c r="D10" s="362"/>
      <c r="E10" s="9">
        <f>11.8</f>
        <v>11.8</v>
      </c>
      <c r="F10" s="3">
        <f>11.8</f>
        <v>11.8</v>
      </c>
      <c r="G10" s="3">
        <f>11.8</f>
        <v>11.8</v>
      </c>
      <c r="I10" s="1" t="s">
        <v>445</v>
      </c>
      <c r="J10" s="1" t="s">
        <v>440</v>
      </c>
      <c r="K10" s="1" t="s">
        <v>441</v>
      </c>
      <c r="L10" s="1">
        <v>0</v>
      </c>
      <c r="M10" s="1">
        <v>0</v>
      </c>
      <c r="N10" s="1">
        <v>0</v>
      </c>
      <c r="P10" s="246"/>
    </row>
    <row r="11" spans="1:16" x14ac:dyDescent="0.45">
      <c r="B11" s="364" t="s">
        <v>428</v>
      </c>
      <c r="C11" s="157" t="s">
        <v>466</v>
      </c>
      <c r="D11" s="362"/>
      <c r="E11" s="9">
        <f>2450/1000</f>
        <v>2.4500000000000002</v>
      </c>
      <c r="F11" s="3">
        <v>5</v>
      </c>
      <c r="G11" s="3">
        <v>5</v>
      </c>
      <c r="J11" s="313"/>
      <c r="K11" s="313" t="s">
        <v>442</v>
      </c>
      <c r="L11" s="313">
        <v>0</v>
      </c>
      <c r="M11" s="313">
        <v>0</v>
      </c>
      <c r="N11" s="313">
        <v>0</v>
      </c>
      <c r="O11" s="313"/>
    </row>
    <row r="12" spans="1:16" x14ac:dyDescent="0.45">
      <c r="B12" s="364" t="s">
        <v>430</v>
      </c>
      <c r="C12" s="157" t="s">
        <v>467</v>
      </c>
      <c r="D12" s="362"/>
      <c r="E12" s="9">
        <f>5</f>
        <v>5</v>
      </c>
      <c r="F12" s="3">
        <v>5</v>
      </c>
      <c r="G12" s="3">
        <v>7</v>
      </c>
      <c r="I12" s="10"/>
      <c r="J12" s="1">
        <v>1</v>
      </c>
      <c r="K12" s="1" t="s">
        <v>436</v>
      </c>
      <c r="L12" s="1">
        <f>L$10</f>
        <v>0</v>
      </c>
      <c r="M12" s="1">
        <f>M$10</f>
        <v>0</v>
      </c>
      <c r="N12" s="1">
        <f>N$10</f>
        <v>0</v>
      </c>
    </row>
    <row r="13" spans="1:16" x14ac:dyDescent="0.45">
      <c r="B13" s="364" t="s">
        <v>420</v>
      </c>
      <c r="C13" s="157" t="s">
        <v>468</v>
      </c>
      <c r="D13" s="362"/>
      <c r="E13" s="9">
        <f>4</f>
        <v>4</v>
      </c>
      <c r="F13" s="3">
        <f>4</f>
        <v>4</v>
      </c>
      <c r="G13" s="3">
        <f>4</f>
        <v>4</v>
      </c>
      <c r="K13" s="1" t="s">
        <v>437</v>
      </c>
      <c r="L13" s="1">
        <f>L$11</f>
        <v>0</v>
      </c>
      <c r="M13" s="1">
        <f>M$11</f>
        <v>0</v>
      </c>
      <c r="N13" s="1">
        <f>N$11</f>
        <v>0</v>
      </c>
    </row>
    <row r="14" spans="1:16" x14ac:dyDescent="0.45">
      <c r="B14" s="364" t="s">
        <v>421</v>
      </c>
      <c r="C14" s="157" t="s">
        <v>469</v>
      </c>
      <c r="D14" s="362"/>
      <c r="E14" s="9">
        <f>400/1000</f>
        <v>0.4</v>
      </c>
      <c r="F14" s="3">
        <f>400/1000</f>
        <v>0.4</v>
      </c>
      <c r="G14" s="3">
        <f>400/1000</f>
        <v>0.4</v>
      </c>
      <c r="J14" s="1">
        <v>2</v>
      </c>
      <c r="K14" s="1" t="s">
        <v>436</v>
      </c>
      <c r="L14" s="1">
        <f>L$10</f>
        <v>0</v>
      </c>
      <c r="M14" s="1">
        <f>M$10</f>
        <v>0</v>
      </c>
      <c r="N14" s="1">
        <f>N$10</f>
        <v>0</v>
      </c>
    </row>
    <row r="15" spans="1:16" x14ac:dyDescent="0.45">
      <c r="B15" s="364" t="s">
        <v>422</v>
      </c>
      <c r="C15" s="157" t="s">
        <v>470</v>
      </c>
      <c r="D15" s="362"/>
      <c r="E15" s="9">
        <v>0.9</v>
      </c>
      <c r="F15" s="3">
        <v>0.9</v>
      </c>
      <c r="G15" s="3">
        <v>0.9</v>
      </c>
      <c r="K15" s="1" t="s">
        <v>437</v>
      </c>
      <c r="L15" s="1">
        <f>L$11+E$18*1000</f>
        <v>700</v>
      </c>
      <c r="M15" s="1">
        <f>M$11+F$18*1000</f>
        <v>700</v>
      </c>
      <c r="N15" s="1">
        <f>N$11+G$18*1000</f>
        <v>700</v>
      </c>
    </row>
    <row r="16" spans="1:16" x14ac:dyDescent="0.45">
      <c r="B16" s="364" t="s">
        <v>423</v>
      </c>
      <c r="C16" s="157" t="s">
        <v>471</v>
      </c>
      <c r="D16" s="362"/>
      <c r="E16" s="9">
        <v>0.82</v>
      </c>
      <c r="F16" s="3">
        <v>0.82</v>
      </c>
      <c r="G16" s="3">
        <v>0.82</v>
      </c>
      <c r="J16" s="1">
        <v>3</v>
      </c>
      <c r="K16" s="1" t="s">
        <v>436</v>
      </c>
      <c r="L16" s="1">
        <f>L$10+E$10*1000</f>
        <v>11800</v>
      </c>
      <c r="M16" s="1">
        <f>M$10+F$10*1000</f>
        <v>11800</v>
      </c>
      <c r="N16" s="1">
        <f>N$10+G$10*1000</f>
        <v>11800</v>
      </c>
    </row>
    <row r="17" spans="2:15" x14ac:dyDescent="0.45">
      <c r="B17" s="364" t="s">
        <v>425</v>
      </c>
      <c r="C17" s="157" t="s">
        <v>472</v>
      </c>
      <c r="D17" s="362"/>
      <c r="E17" s="9">
        <v>1</v>
      </c>
      <c r="F17" s="3">
        <f>1145/1000</f>
        <v>1.145</v>
      </c>
      <c r="G17" s="3">
        <f>1145/1000</f>
        <v>1.145</v>
      </c>
      <c r="K17" s="1" t="s">
        <v>437</v>
      </c>
      <c r="L17" s="1">
        <f>L$11+E$18*1000</f>
        <v>700</v>
      </c>
      <c r="M17" s="1">
        <f>M$11+F$18*1000</f>
        <v>700</v>
      </c>
      <c r="N17" s="1">
        <f>N$11+G$18*1000</f>
        <v>700</v>
      </c>
    </row>
    <row r="18" spans="2:15" x14ac:dyDescent="0.45">
      <c r="B18" s="364" t="s">
        <v>424</v>
      </c>
      <c r="C18" s="157" t="s">
        <v>473</v>
      </c>
      <c r="D18" s="362"/>
      <c r="E18" s="9">
        <v>0.7</v>
      </c>
      <c r="F18" s="3">
        <v>0.7</v>
      </c>
      <c r="G18" s="3">
        <v>0.7</v>
      </c>
      <c r="J18" s="1">
        <v>4</v>
      </c>
      <c r="K18" s="1" t="s">
        <v>436</v>
      </c>
      <c r="L18" s="1">
        <f>L$10+E$10*1000</f>
        <v>11800</v>
      </c>
      <c r="M18" s="1">
        <f>M$10+F$10*1000</f>
        <v>11800</v>
      </c>
      <c r="N18" s="1">
        <f>N$10+G$10*1000</f>
        <v>11800</v>
      </c>
    </row>
    <row r="19" spans="2:15" x14ac:dyDescent="0.45">
      <c r="B19" s="364" t="s">
        <v>426</v>
      </c>
      <c r="C19" s="157" t="s">
        <v>474</v>
      </c>
      <c r="D19" s="362"/>
      <c r="E19" s="9">
        <f>1</f>
        <v>1</v>
      </c>
      <c r="F19" s="3">
        <f>1</f>
        <v>1</v>
      </c>
      <c r="G19" s="3">
        <f>1</f>
        <v>1</v>
      </c>
      <c r="K19" s="1" t="s">
        <v>437</v>
      </c>
      <c r="L19" s="1">
        <f>L$11</f>
        <v>0</v>
      </c>
      <c r="M19" s="1">
        <f>M$11</f>
        <v>0</v>
      </c>
      <c r="N19" s="1">
        <f>N$11</f>
        <v>0</v>
      </c>
    </row>
    <row r="20" spans="2:15" x14ac:dyDescent="0.45">
      <c r="B20" s="364" t="s">
        <v>427</v>
      </c>
      <c r="C20" s="157" t="s">
        <v>475</v>
      </c>
      <c r="D20" s="362"/>
      <c r="E20" s="361">
        <v>0.6</v>
      </c>
      <c r="F20" s="379">
        <v>0.6</v>
      </c>
      <c r="G20" s="379">
        <v>0.6</v>
      </c>
      <c r="J20" s="1">
        <v>5</v>
      </c>
      <c r="K20" s="1" t="s">
        <v>436</v>
      </c>
      <c r="L20" s="1">
        <f>L$10</f>
        <v>0</v>
      </c>
      <c r="M20" s="1">
        <f>M$10</f>
        <v>0</v>
      </c>
      <c r="N20" s="1">
        <f>N$10</f>
        <v>0</v>
      </c>
    </row>
    <row r="21" spans="2:15" x14ac:dyDescent="0.45">
      <c r="B21" s="163" t="s">
        <v>452</v>
      </c>
      <c r="C21" s="163" t="s">
        <v>476</v>
      </c>
      <c r="D21" s="163">
        <f>SUM(E21:H21)</f>
        <v>120.2</v>
      </c>
      <c r="E21" s="157">
        <f>ROUNDUP(((E$13*(E$20+E$18)/2)+(E$13*(E$17-E$18)/2))*E$10,1)</f>
        <v>37.800000000000004</v>
      </c>
      <c r="F21" s="156">
        <f>ROUNDUP(((F$13*(F$20+F$18)/2)+(F$13*(F$17-F$18)/2))*F$10,1)</f>
        <v>41.2</v>
      </c>
      <c r="G21" s="156">
        <f>ROUNDUP(((G$13*(G$20+G$18)/2)+(G$13*(G$17-G$18)/2))*G$10,1)</f>
        <v>41.2</v>
      </c>
      <c r="K21" s="1" t="s">
        <v>437</v>
      </c>
      <c r="L21" s="1">
        <f>L$11+E$11*1000</f>
        <v>2450</v>
      </c>
      <c r="M21" s="1">
        <f>M$11+F$11*1000</f>
        <v>5000</v>
      </c>
      <c r="N21" s="1">
        <f>N$11+G$11*1000</f>
        <v>5000</v>
      </c>
    </row>
    <row r="22" spans="2:15" x14ac:dyDescent="0.45">
      <c r="B22" s="157" t="s">
        <v>453</v>
      </c>
      <c r="C22" s="157" t="s">
        <v>476</v>
      </c>
      <c r="D22" s="157">
        <f>SUM(E22:H22)</f>
        <v>84.4</v>
      </c>
      <c r="E22" s="157">
        <f>ROUND(0.5*(E$14+E$16)*((E$12+E$11)/2-(E$19))*E$10,1)</f>
        <v>19.600000000000001</v>
      </c>
      <c r="F22" s="156">
        <f>ROUND(0.5*(F$14+F$16)*((F$12+F$11)/2-(F$19))*F$10,1)</f>
        <v>28.8</v>
      </c>
      <c r="G22" s="156">
        <f>ROUND(0.5*(G$14+G$16)*((G$12+G$11)/2-(G$19))*G$10,1)</f>
        <v>36</v>
      </c>
      <c r="J22" s="1">
        <v>6</v>
      </c>
      <c r="K22" s="1" t="s">
        <v>436</v>
      </c>
      <c r="L22" s="1">
        <f>L$10+E$10*1000</f>
        <v>11800</v>
      </c>
      <c r="M22" s="1">
        <f>M$10+F$10*1000</f>
        <v>11800</v>
      </c>
      <c r="N22" s="1">
        <f>N$10+G$10*1000</f>
        <v>11800</v>
      </c>
    </row>
    <row r="23" spans="2:15" x14ac:dyDescent="0.45">
      <c r="B23" s="157" t="s">
        <v>350</v>
      </c>
      <c r="C23" s="157"/>
      <c r="D23" s="157"/>
      <c r="E23" s="157" t="str">
        <f>IF(_1!E27&gt;0,"БНС","заб")</f>
        <v>заб</v>
      </c>
      <c r="F23" s="156" t="str">
        <f>IF(_1!E27&gt;0,"БНС","заб")</f>
        <v>заб</v>
      </c>
      <c r="G23" s="156" t="str">
        <f>IF(_1!F27&gt;0,"БНС","заб")</f>
        <v>заб</v>
      </c>
      <c r="J23" s="313"/>
      <c r="K23" s="313" t="s">
        <v>437</v>
      </c>
      <c r="L23" s="313">
        <f>L$11+E$12*1000</f>
        <v>5000</v>
      </c>
      <c r="M23" s="313">
        <f>M$11+F$12*1000</f>
        <v>5000</v>
      </c>
      <c r="N23" s="313">
        <f>N$11+G$12*1000</f>
        <v>7000</v>
      </c>
      <c r="O23" s="313"/>
    </row>
    <row r="24" spans="2:15" x14ac:dyDescent="0.45">
      <c r="B24" s="157" t="s">
        <v>410</v>
      </c>
      <c r="C24" s="157"/>
      <c r="D24" s="157">
        <f>SUM(E24:H24)</f>
        <v>54</v>
      </c>
      <c r="E24" s="7">
        <f>IF(_1!$E27=0,_1!$E16+_1!$E17,_1!$E27)</f>
        <v>18</v>
      </c>
      <c r="F24" s="156">
        <f>IF(_1!$E27=0,_1!$E16+_1!$E17,_1!$E27)</f>
        <v>18</v>
      </c>
      <c r="G24" s="156">
        <f>IF(_1!$E27=0,_1!$E16+_1!$E17,_1!$E27)</f>
        <v>18</v>
      </c>
      <c r="I24" s="173" t="s">
        <v>446</v>
      </c>
      <c r="J24" s="1" t="s">
        <v>440</v>
      </c>
      <c r="K24" s="1" t="s">
        <v>441</v>
      </c>
      <c r="L24" s="1">
        <f>L10+L5+E10*1000</f>
        <v>16800</v>
      </c>
      <c r="M24" s="1">
        <v>0</v>
      </c>
      <c r="N24" s="1">
        <v>0</v>
      </c>
    </row>
    <row r="25" spans="2:15" x14ac:dyDescent="0.45">
      <c r="B25" s="157" t="s">
        <v>351</v>
      </c>
      <c r="C25" s="157"/>
      <c r="D25" s="157"/>
      <c r="E25" s="157">
        <f>IF(E23="заб",_1!E14,_1!E26)</f>
        <v>0.35</v>
      </c>
      <c r="F25" s="156">
        <f>IF(F23="заб",_1!E14,_1!E26)</f>
        <v>0.35</v>
      </c>
      <c r="G25" s="156">
        <f>IF(G23="заб",_1!F14,_1!F26)</f>
        <v>0.35</v>
      </c>
      <c r="K25" s="1" t="s">
        <v>442</v>
      </c>
      <c r="L25" s="1">
        <f>L11</f>
        <v>0</v>
      </c>
      <c r="M25" s="1">
        <v>0</v>
      </c>
      <c r="N25" s="1">
        <v>0</v>
      </c>
    </row>
    <row r="26" spans="2:15" x14ac:dyDescent="0.45">
      <c r="B26" s="157" t="s">
        <v>415</v>
      </c>
      <c r="C26" s="157"/>
      <c r="D26" s="157"/>
      <c r="E26" s="9">
        <v>0.1</v>
      </c>
      <c r="F26" s="3">
        <v>0.1</v>
      </c>
      <c r="G26" s="3">
        <v>0.1</v>
      </c>
      <c r="J26" s="1">
        <v>7</v>
      </c>
      <c r="K26" s="1" t="s">
        <v>436</v>
      </c>
      <c r="L26" s="1">
        <f>L$24</f>
        <v>16800</v>
      </c>
      <c r="M26" s="1">
        <f>M$24</f>
        <v>0</v>
      </c>
      <c r="N26" s="1">
        <f>N$24</f>
        <v>0</v>
      </c>
    </row>
    <row r="27" spans="2:15" ht="14.65" thickBot="1" x14ac:dyDescent="0.5">
      <c r="B27" s="359" t="s">
        <v>414</v>
      </c>
      <c r="C27" s="359"/>
      <c r="D27" s="359"/>
      <c r="E27" s="9">
        <v>1</v>
      </c>
      <c r="F27" s="3">
        <v>1</v>
      </c>
      <c r="G27" s="3">
        <v>1</v>
      </c>
      <c r="K27" s="1" t="s">
        <v>437</v>
      </c>
      <c r="L27" s="1">
        <f>L$25</f>
        <v>0</v>
      </c>
      <c r="M27" s="1">
        <f>M$25</f>
        <v>0</v>
      </c>
      <c r="N27" s="1">
        <f>N$25</f>
        <v>0</v>
      </c>
    </row>
    <row r="28" spans="2:15" ht="15" customHeight="1" x14ac:dyDescent="0.45">
      <c r="B28" s="153" t="s">
        <v>12</v>
      </c>
      <c r="C28" s="157"/>
      <c r="D28" s="157">
        <f>SUM(E28:H28)</f>
        <v>38.700000000000003</v>
      </c>
      <c r="E28" s="153">
        <f>ROUNDUP(($E10+E30)*($E12+E30)*E29,1)</f>
        <v>12.9</v>
      </c>
      <c r="F28" s="152">
        <f>ROUNDUP(($E10+F30)*($E12+F30)*F29,1)</f>
        <v>12.9</v>
      </c>
      <c r="G28" s="152">
        <f>ROUNDUP(($E10+G30)*($E12+G30)*G29,1)</f>
        <v>12.9</v>
      </c>
      <c r="J28" s="1">
        <v>8</v>
      </c>
      <c r="K28" s="1" t="s">
        <v>436</v>
      </c>
      <c r="L28" s="1">
        <f>L$24</f>
        <v>16800</v>
      </c>
      <c r="M28" s="1">
        <f>M$24</f>
        <v>0</v>
      </c>
      <c r="N28" s="1">
        <f>N$24</f>
        <v>0</v>
      </c>
    </row>
    <row r="29" spans="2:15" ht="15" customHeight="1" x14ac:dyDescent="0.45">
      <c r="B29" s="157" t="s">
        <v>244</v>
      </c>
      <c r="C29" s="157"/>
      <c r="D29" s="157"/>
      <c r="E29" s="9">
        <v>0.2</v>
      </c>
      <c r="F29" s="3">
        <v>0.2</v>
      </c>
      <c r="G29" s="3">
        <v>0.2</v>
      </c>
      <c r="K29" s="1" t="s">
        <v>437</v>
      </c>
      <c r="L29" s="1">
        <f>L$25+E$18*1000</f>
        <v>700</v>
      </c>
      <c r="M29" s="1">
        <f>M$25+F$18*1000</f>
        <v>700</v>
      </c>
      <c r="N29" s="1">
        <f>N$25+G$18*1000</f>
        <v>700</v>
      </c>
    </row>
    <row r="30" spans="2:15" ht="15" customHeight="1" x14ac:dyDescent="0.45">
      <c r="B30" s="157" t="s">
        <v>245</v>
      </c>
      <c r="C30" s="157"/>
      <c r="D30" s="157"/>
      <c r="E30" s="9">
        <v>0.3</v>
      </c>
      <c r="F30" s="3">
        <v>0.3</v>
      </c>
      <c r="G30" s="3">
        <v>0.3</v>
      </c>
      <c r="J30" s="1">
        <v>9</v>
      </c>
      <c r="K30" s="1" t="s">
        <v>436</v>
      </c>
      <c r="L30" s="1">
        <f>L$24+E$15*1000</f>
        <v>17700</v>
      </c>
      <c r="M30" s="1">
        <f>M$24+F$15*1000</f>
        <v>900</v>
      </c>
      <c r="N30" s="1">
        <f>N$24+G$15*1000</f>
        <v>900</v>
      </c>
    </row>
    <row r="31" spans="2:15" ht="15" customHeight="1" x14ac:dyDescent="0.45">
      <c r="B31" s="161" t="s">
        <v>13</v>
      </c>
      <c r="C31" s="161"/>
      <c r="D31" s="161"/>
      <c r="E31" s="361"/>
      <c r="F31" s="379"/>
      <c r="G31" s="379"/>
      <c r="K31" s="1" t="s">
        <v>437</v>
      </c>
      <c r="L31" s="1">
        <f>L$25+E$17*1000</f>
        <v>1000</v>
      </c>
      <c r="M31" s="1">
        <f>M$25+F$17*1000</f>
        <v>1145</v>
      </c>
      <c r="N31" s="1">
        <f>N$25+G$17*1000</f>
        <v>1145</v>
      </c>
    </row>
    <row r="32" spans="2:15" ht="15" customHeight="1" x14ac:dyDescent="0.45">
      <c r="B32" s="164" t="s">
        <v>9</v>
      </c>
      <c r="C32" s="157"/>
      <c r="D32" s="157">
        <f>SUM(E32:H32)</f>
        <v>18.899999999999999</v>
      </c>
      <c r="E32" s="164">
        <f>ROUNDUP(($E10+E34)*($E12+E34)*E33,1)</f>
        <v>6.3</v>
      </c>
      <c r="F32" s="163">
        <f>ROUNDUP(($E10+F34)*($E12+F34)*F33,1)</f>
        <v>6.3</v>
      </c>
      <c r="G32" s="156">
        <f>ROUNDUP(($E10+G34)*($E12+G34)*G33,1)</f>
        <v>6.3</v>
      </c>
      <c r="J32" s="1">
        <v>10</v>
      </c>
      <c r="K32" s="1" t="s">
        <v>436</v>
      </c>
      <c r="L32" s="1">
        <f>L$24+$E$15*1000</f>
        <v>17700</v>
      </c>
      <c r="M32" s="1">
        <f>M$24+$E$15*1000</f>
        <v>900</v>
      </c>
      <c r="N32" s="1">
        <f>N$24+$E$15*1000</f>
        <v>900</v>
      </c>
    </row>
    <row r="33" spans="2:15" ht="15" customHeight="1" x14ac:dyDescent="0.45">
      <c r="B33" s="157" t="s">
        <v>244</v>
      </c>
      <c r="C33" s="157"/>
      <c r="D33" s="157"/>
      <c r="E33" s="9">
        <v>0.1</v>
      </c>
      <c r="F33" s="3">
        <v>0.1</v>
      </c>
      <c r="G33" s="3">
        <v>0.1</v>
      </c>
      <c r="K33" s="1" t="s">
        <v>437</v>
      </c>
      <c r="L33" s="1">
        <f>L$25+E$11*1000</f>
        <v>2450</v>
      </c>
      <c r="M33" s="1">
        <f>M$25+F$11*1000</f>
        <v>5000</v>
      </c>
      <c r="N33" s="1">
        <f>N$25+G$11*1000</f>
        <v>5000</v>
      </c>
    </row>
    <row r="34" spans="2:15" ht="15" customHeight="1" x14ac:dyDescent="0.45">
      <c r="B34" s="157" t="s">
        <v>245</v>
      </c>
      <c r="C34" s="157"/>
      <c r="D34" s="157"/>
      <c r="E34" s="9">
        <v>0.2</v>
      </c>
      <c r="F34" s="3">
        <v>0.2</v>
      </c>
      <c r="G34" s="379">
        <v>0.2</v>
      </c>
      <c r="J34" s="1">
        <v>11</v>
      </c>
      <c r="K34" s="1" t="s">
        <v>436</v>
      </c>
      <c r="L34" s="1">
        <f>L$24+E$15*1000+E$14*1000</f>
        <v>18100</v>
      </c>
      <c r="M34" s="1">
        <f>M$24+F$15*1000+F$14*1000</f>
        <v>1300</v>
      </c>
      <c r="N34" s="1">
        <f>N$24+G$15*1000+G$14*1000</f>
        <v>1300</v>
      </c>
    </row>
    <row r="35" spans="2:15" x14ac:dyDescent="0.45">
      <c r="B35" s="164" t="s">
        <v>433</v>
      </c>
      <c r="C35" s="164"/>
      <c r="D35" s="163">
        <f>SUM(E35:H35)</f>
        <v>173.8</v>
      </c>
      <c r="E35" s="366">
        <f>ROUND(E$10*(E$12+E$11)*0.5,1)</f>
        <v>44</v>
      </c>
      <c r="F35" s="163">
        <f>ROUND(F$10*(F$12+F$11)*0.5,1)</f>
        <v>59</v>
      </c>
      <c r="G35" s="156">
        <f>ROUND(G$10*(G$12+G$11)*0.5,1)</f>
        <v>70.8</v>
      </c>
      <c r="K35" s="1" t="s">
        <v>437</v>
      </c>
      <c r="L35" s="1">
        <f>L$25+E$11*1000</f>
        <v>2450</v>
      </c>
      <c r="M35" s="1">
        <f>M$25+F$11*1000</f>
        <v>5000</v>
      </c>
      <c r="N35" s="1">
        <f>N$25+G$11*1000</f>
        <v>5000</v>
      </c>
    </row>
    <row r="36" spans="2:15" x14ac:dyDescent="0.45">
      <c r="B36" s="157" t="s">
        <v>434</v>
      </c>
      <c r="C36" s="157"/>
      <c r="D36" s="157">
        <f>SUM(E36:H36)</f>
        <v>173.8</v>
      </c>
      <c r="E36" s="365">
        <f>E35</f>
        <v>44</v>
      </c>
      <c r="F36" s="156">
        <f>F35</f>
        <v>59</v>
      </c>
      <c r="G36" s="156">
        <f>G35</f>
        <v>70.8</v>
      </c>
      <c r="J36" s="1">
        <v>12</v>
      </c>
      <c r="K36" s="1" t="s">
        <v>436</v>
      </c>
      <c r="L36" s="1">
        <f>L$24+E$15*1000+E$16*1000</f>
        <v>18520</v>
      </c>
      <c r="M36" s="1">
        <f>M$24+F$15*1000+F$16*1000</f>
        <v>1720</v>
      </c>
      <c r="N36" s="1">
        <f>N$24+G$15*1000+G$16*1000</f>
        <v>1720</v>
      </c>
    </row>
    <row r="37" spans="2:15" x14ac:dyDescent="0.45">
      <c r="B37" s="157" t="s">
        <v>342</v>
      </c>
      <c r="C37" s="157"/>
      <c r="D37" s="157"/>
      <c r="E37" s="9">
        <v>0.15</v>
      </c>
      <c r="F37" s="3">
        <v>0.15</v>
      </c>
      <c r="G37" s="3">
        <v>0.15</v>
      </c>
      <c r="K37" s="1" t="s">
        <v>437</v>
      </c>
      <c r="L37" s="1">
        <f>L$25+E$19*1000</f>
        <v>1000</v>
      </c>
      <c r="M37" s="1">
        <f>M$25+F$19*1000</f>
        <v>1000</v>
      </c>
      <c r="N37" s="1">
        <f>N$25+G$19*1000</f>
        <v>1000</v>
      </c>
    </row>
    <row r="38" spans="2:15" x14ac:dyDescent="0.45">
      <c r="B38" s="157" t="s">
        <v>362</v>
      </c>
      <c r="C38" s="157"/>
      <c r="D38" s="157"/>
      <c r="E38" s="9">
        <f>_1!E5</f>
        <v>139.30000000000001</v>
      </c>
      <c r="F38" s="3">
        <f>_1!E5</f>
        <v>139.30000000000001</v>
      </c>
      <c r="G38" s="3">
        <f>_1!F5</f>
        <v>139.30000000000001</v>
      </c>
      <c r="J38" s="1">
        <v>13</v>
      </c>
      <c r="K38" s="1" t="s">
        <v>436</v>
      </c>
      <c r="L38" s="1">
        <f>L$24+E$13*1000</f>
        <v>20800</v>
      </c>
      <c r="M38" s="1">
        <f>M$24+F$13*1000</f>
        <v>4000</v>
      </c>
      <c r="N38" s="1">
        <f>N$24+G$13*1000</f>
        <v>4000</v>
      </c>
    </row>
    <row r="39" spans="2:15" x14ac:dyDescent="0.45">
      <c r="B39" s="7" t="s">
        <v>366</v>
      </c>
      <c r="C39" s="7"/>
      <c r="D39" s="157"/>
      <c r="E39" s="9">
        <v>0</v>
      </c>
      <c r="F39" s="3">
        <v>0</v>
      </c>
      <c r="G39" s="3">
        <v>0</v>
      </c>
      <c r="K39" s="1" t="s">
        <v>437</v>
      </c>
      <c r="L39" s="1">
        <f>L$25+E$20*1000</f>
        <v>600</v>
      </c>
      <c r="M39" s="1">
        <f>M$25+F$20*1000</f>
        <v>600</v>
      </c>
      <c r="N39" s="1">
        <f>N$25+G$20*1000</f>
        <v>600</v>
      </c>
    </row>
    <row r="40" spans="2:15" x14ac:dyDescent="0.45">
      <c r="B40" s="161" t="s">
        <v>344</v>
      </c>
      <c r="C40" s="161"/>
      <c r="D40" s="161"/>
      <c r="E40" s="361">
        <v>1</v>
      </c>
      <c r="F40" s="379">
        <v>1</v>
      </c>
      <c r="G40" s="379">
        <v>1</v>
      </c>
      <c r="J40" s="1">
        <v>14</v>
      </c>
      <c r="K40" s="1" t="s">
        <v>436</v>
      </c>
      <c r="L40" s="1">
        <f>L$24+E$13*1000</f>
        <v>20800</v>
      </c>
      <c r="M40" s="1">
        <f>M$24+F$13*1000</f>
        <v>4000</v>
      </c>
      <c r="N40" s="1">
        <f>N$24+G$13*1000</f>
        <v>4000</v>
      </c>
    </row>
    <row r="41" spans="2:15" x14ac:dyDescent="0.45">
      <c r="B41" s="7" t="s">
        <v>408</v>
      </c>
      <c r="C41" s="7"/>
      <c r="D41" s="157">
        <f>D8-1</f>
        <v>2</v>
      </c>
      <c r="E41" s="157">
        <f>IF(G8&gt;0,1,0)</f>
        <v>1</v>
      </c>
      <c r="F41" s="156">
        <f>IF(G8&gt;0,1,0)</f>
        <v>1</v>
      </c>
      <c r="G41" s="156">
        <f>IF(H8&gt;0,1,0)</f>
        <v>0</v>
      </c>
      <c r="J41" s="313"/>
      <c r="K41" s="313" t="s">
        <v>437</v>
      </c>
      <c r="L41" s="313">
        <f>L$25</f>
        <v>0</v>
      </c>
      <c r="M41" s="313">
        <f>M$25</f>
        <v>0</v>
      </c>
      <c r="N41" s="313">
        <f>N$25</f>
        <v>0</v>
      </c>
      <c r="O41" s="313"/>
    </row>
    <row r="42" spans="2:15" x14ac:dyDescent="0.45">
      <c r="B42" s="157" t="s">
        <v>438</v>
      </c>
      <c r="C42" s="157"/>
      <c r="D42" s="157"/>
      <c r="E42" s="157">
        <f>0.02*0.01</f>
        <v>2.0000000000000001E-4</v>
      </c>
      <c r="F42" s="156">
        <f>0.02*0.01</f>
        <v>2.0000000000000001E-4</v>
      </c>
      <c r="G42" s="156">
        <f>0.02*0.01</f>
        <v>2.0000000000000001E-4</v>
      </c>
      <c r="I42" s="173" t="s">
        <v>447</v>
      </c>
      <c r="J42" s="1" t="s">
        <v>440</v>
      </c>
      <c r="K42" s="1" t="s">
        <v>441</v>
      </c>
      <c r="L42" s="1">
        <f>L24+L5+E13*1000</f>
        <v>25800</v>
      </c>
      <c r="M42" s="1">
        <v>0</v>
      </c>
      <c r="N42" s="1">
        <v>0</v>
      </c>
    </row>
    <row r="43" spans="2:15" x14ac:dyDescent="0.45">
      <c r="B43" s="157" t="s">
        <v>411</v>
      </c>
      <c r="C43" s="157"/>
      <c r="D43" s="157"/>
      <c r="E43" s="9">
        <v>1</v>
      </c>
      <c r="F43" s="3">
        <v>1</v>
      </c>
      <c r="G43" s="3">
        <v>1</v>
      </c>
      <c r="K43" s="1" t="s">
        <v>442</v>
      </c>
      <c r="L43" s="1">
        <f>L25</f>
        <v>0</v>
      </c>
      <c r="M43" s="1">
        <v>0</v>
      </c>
      <c r="N43" s="1">
        <v>0</v>
      </c>
    </row>
    <row r="44" spans="2:15" x14ac:dyDescent="0.45">
      <c r="B44" s="157" t="s">
        <v>412</v>
      </c>
      <c r="C44" s="157"/>
      <c r="D44" s="157"/>
      <c r="E44" s="9">
        <v>0</v>
      </c>
      <c r="F44" s="3">
        <v>0</v>
      </c>
      <c r="G44" s="3">
        <v>0</v>
      </c>
      <c r="J44" s="1">
        <v>15</v>
      </c>
      <c r="K44" s="1" t="s">
        <v>436</v>
      </c>
      <c r="L44" s="1">
        <f>L$42</f>
        <v>25800</v>
      </c>
      <c r="M44" s="1">
        <f>M$42</f>
        <v>0</v>
      </c>
      <c r="N44" s="1">
        <f>N$42</f>
        <v>0</v>
      </c>
    </row>
    <row r="45" spans="2:15" ht="14.65" thickBot="1" x14ac:dyDescent="0.5">
      <c r="B45" s="359" t="s">
        <v>413</v>
      </c>
      <c r="C45" s="359"/>
      <c r="D45" s="359"/>
      <c r="E45" s="63">
        <v>0</v>
      </c>
      <c r="F45" s="274">
        <v>0</v>
      </c>
      <c r="G45" s="274">
        <v>0</v>
      </c>
      <c r="K45" s="1" t="s">
        <v>437</v>
      </c>
      <c r="L45" s="1">
        <f>L$43</f>
        <v>0</v>
      </c>
      <c r="M45" s="1">
        <f>M$43</f>
        <v>0</v>
      </c>
      <c r="N45" s="1">
        <f>N$43</f>
        <v>0</v>
      </c>
    </row>
    <row r="46" spans="2:15" x14ac:dyDescent="0.45">
      <c r="J46" s="1">
        <v>16</v>
      </c>
      <c r="K46" s="1" t="s">
        <v>436</v>
      </c>
      <c r="L46" s="1">
        <f>L$42</f>
        <v>25800</v>
      </c>
      <c r="M46" s="1">
        <f>M$42</f>
        <v>0</v>
      </c>
      <c r="N46" s="1">
        <f>N$42</f>
        <v>0</v>
      </c>
    </row>
    <row r="47" spans="2:15" x14ac:dyDescent="0.45">
      <c r="K47" s="1" t="s">
        <v>437</v>
      </c>
      <c r="L47" s="1">
        <f>L$43+E$18*1000</f>
        <v>700</v>
      </c>
      <c r="M47" s="1">
        <f>M$43+F$18*1000</f>
        <v>700</v>
      </c>
      <c r="N47" s="1">
        <f>N$43+G$18*1000</f>
        <v>700</v>
      </c>
    </row>
    <row r="48" spans="2:15" x14ac:dyDescent="0.45">
      <c r="J48" s="1">
        <v>17</v>
      </c>
      <c r="K48" s="1" t="s">
        <v>436</v>
      </c>
      <c r="L48" s="1">
        <f>L$42+E$15*1000</f>
        <v>26700</v>
      </c>
      <c r="M48" s="1">
        <f>M$42+F$15*1000</f>
        <v>900</v>
      </c>
      <c r="N48" s="1">
        <f>N$42+G$15*1000</f>
        <v>900</v>
      </c>
    </row>
    <row r="49" spans="9:15" x14ac:dyDescent="0.45">
      <c r="K49" s="1" t="s">
        <v>437</v>
      </c>
      <c r="L49" s="1">
        <f>L$43+E$17*1000</f>
        <v>1000</v>
      </c>
      <c r="M49" s="1">
        <f>M$43+F$17*1000</f>
        <v>1145</v>
      </c>
      <c r="N49" s="1">
        <f>N$43+G$17*1000</f>
        <v>1145</v>
      </c>
    </row>
    <row r="50" spans="9:15" x14ac:dyDescent="0.45">
      <c r="J50" s="1">
        <v>18</v>
      </c>
      <c r="K50" s="1" t="s">
        <v>436</v>
      </c>
      <c r="L50" s="1">
        <f>L$42+$E$15*1000</f>
        <v>26700</v>
      </c>
      <c r="M50" s="1">
        <f>M$42+$E$15*1000</f>
        <v>900</v>
      </c>
      <c r="N50" s="1">
        <f>N$42+$E$15*1000</f>
        <v>900</v>
      </c>
    </row>
    <row r="51" spans="9:15" x14ac:dyDescent="0.45">
      <c r="K51" s="1" t="s">
        <v>437</v>
      </c>
      <c r="L51" s="1">
        <f>L$43+E$12*1000</f>
        <v>5000</v>
      </c>
      <c r="M51" s="1">
        <f>M$43+F$12*1000</f>
        <v>5000</v>
      </c>
      <c r="N51" s="1">
        <f>N$43+G$12*1000</f>
        <v>7000</v>
      </c>
    </row>
    <row r="52" spans="9:15" x14ac:dyDescent="0.45">
      <c r="J52" s="1">
        <v>19</v>
      </c>
      <c r="K52" s="1" t="s">
        <v>436</v>
      </c>
      <c r="L52" s="1">
        <f>L$42+E$15*1000+E$14*1000</f>
        <v>27100</v>
      </c>
      <c r="M52" s="1">
        <f>M$42+F$15*1000+F$14*1000</f>
        <v>1300</v>
      </c>
      <c r="N52" s="1">
        <f>N$42+G$15*1000+G$14*1000</f>
        <v>1300</v>
      </c>
    </row>
    <row r="53" spans="9:15" x14ac:dyDescent="0.45">
      <c r="K53" s="1" t="s">
        <v>437</v>
      </c>
      <c r="L53" s="1">
        <f>L$43+E$12*1000</f>
        <v>5000</v>
      </c>
      <c r="M53" s="1">
        <f>M$43+F$12*1000</f>
        <v>5000</v>
      </c>
      <c r="N53" s="1">
        <f>N$43+G$12*1000</f>
        <v>7000</v>
      </c>
    </row>
    <row r="54" spans="9:15" x14ac:dyDescent="0.45">
      <c r="J54" s="1">
        <v>20</v>
      </c>
      <c r="K54" s="1" t="s">
        <v>436</v>
      </c>
      <c r="L54" s="1">
        <f>L$42+E$15*1000+E$16*1000</f>
        <v>27520</v>
      </c>
      <c r="M54" s="1">
        <f>M$42+F$15*1000+F$16*1000</f>
        <v>1720</v>
      </c>
      <c r="N54" s="1">
        <f>N$42+G$15*1000+G$16*1000</f>
        <v>1720</v>
      </c>
    </row>
    <row r="55" spans="9:15" x14ac:dyDescent="0.45">
      <c r="K55" s="1" t="s">
        <v>437</v>
      </c>
      <c r="L55" s="1">
        <f>L$43+E$19*1000</f>
        <v>1000</v>
      </c>
      <c r="M55" s="1">
        <f>M$43+F$19*1000</f>
        <v>1000</v>
      </c>
      <c r="N55" s="1">
        <f>N$43+G$19*1000</f>
        <v>1000</v>
      </c>
    </row>
    <row r="56" spans="9:15" x14ac:dyDescent="0.45">
      <c r="J56" s="1">
        <v>21</v>
      </c>
      <c r="K56" s="1" t="s">
        <v>436</v>
      </c>
      <c r="L56" s="1">
        <f>L$42+E$13*1000</f>
        <v>29800</v>
      </c>
      <c r="M56" s="1">
        <f>M$42+F$13*1000</f>
        <v>4000</v>
      </c>
      <c r="N56" s="1">
        <f>N$42+G$13*1000</f>
        <v>4000</v>
      </c>
    </row>
    <row r="57" spans="9:15" x14ac:dyDescent="0.45">
      <c r="K57" s="1" t="s">
        <v>437</v>
      </c>
      <c r="L57" s="1">
        <f>L$43+E$20*1000</f>
        <v>600</v>
      </c>
      <c r="M57" s="1">
        <f>M$43+F$20*1000</f>
        <v>600</v>
      </c>
      <c r="N57" s="1">
        <f>N$43+G$20*1000</f>
        <v>600</v>
      </c>
    </row>
    <row r="58" spans="9:15" x14ac:dyDescent="0.45">
      <c r="J58" s="1">
        <v>22</v>
      </c>
      <c r="K58" s="1" t="s">
        <v>436</v>
      </c>
      <c r="L58" s="1">
        <f>L$42+E$13*1000</f>
        <v>29800</v>
      </c>
      <c r="M58" s="1">
        <f>M$42+F$13*1000</f>
        <v>4000</v>
      </c>
      <c r="N58" s="1">
        <f>N$42+G$13*1000</f>
        <v>4000</v>
      </c>
    </row>
    <row r="59" spans="9:15" x14ac:dyDescent="0.45">
      <c r="J59" s="313"/>
      <c r="K59" s="313" t="s">
        <v>437</v>
      </c>
      <c r="L59" s="313">
        <f>L$43</f>
        <v>0</v>
      </c>
      <c r="M59" s="313">
        <f>M$43</f>
        <v>0</v>
      </c>
      <c r="N59" s="313">
        <f>N$43</f>
        <v>0</v>
      </c>
      <c r="O59" s="313"/>
    </row>
    <row r="60" spans="9:15" x14ac:dyDescent="0.45">
      <c r="I60" s="1" t="s">
        <v>448</v>
      </c>
      <c r="J60" s="1" t="s">
        <v>440</v>
      </c>
      <c r="K60" s="1" t="s">
        <v>441</v>
      </c>
      <c r="L60" s="1">
        <f>L10</f>
        <v>0</v>
      </c>
      <c r="M60" s="1">
        <v>0</v>
      </c>
      <c r="N60" s="1">
        <v>0</v>
      </c>
    </row>
    <row r="61" spans="9:15" x14ac:dyDescent="0.45">
      <c r="K61" s="1" t="s">
        <v>442</v>
      </c>
      <c r="L61" s="1">
        <f>L11-L4</f>
        <v>-10000</v>
      </c>
      <c r="M61" s="1">
        <v>0</v>
      </c>
      <c r="N61" s="1">
        <v>0</v>
      </c>
    </row>
    <row r="62" spans="9:15" x14ac:dyDescent="0.45">
      <c r="J62" s="1">
        <v>23</v>
      </c>
      <c r="K62" s="1" t="s">
        <v>436</v>
      </c>
      <c r="L62" s="1">
        <f>L$60</f>
        <v>0</v>
      </c>
      <c r="M62" s="1">
        <f>M$60</f>
        <v>0</v>
      </c>
      <c r="N62" s="1">
        <f>N$60</f>
        <v>0</v>
      </c>
    </row>
    <row r="63" spans="9:15" x14ac:dyDescent="0.45">
      <c r="K63" s="1" t="s">
        <v>437</v>
      </c>
      <c r="L63" s="1">
        <f>L$61</f>
        <v>-10000</v>
      </c>
      <c r="M63" s="1">
        <f>M$61</f>
        <v>0</v>
      </c>
      <c r="N63" s="1">
        <f>N$61</f>
        <v>0</v>
      </c>
    </row>
    <row r="64" spans="9:15" x14ac:dyDescent="0.45">
      <c r="J64" s="1">
        <v>24</v>
      </c>
      <c r="K64" s="1" t="s">
        <v>436</v>
      </c>
      <c r="L64" s="1">
        <f>L$60</f>
        <v>0</v>
      </c>
      <c r="M64" s="1">
        <f>M$60</f>
        <v>0</v>
      </c>
      <c r="N64" s="1">
        <f>N$60</f>
        <v>0</v>
      </c>
    </row>
    <row r="65" spans="10:14" x14ac:dyDescent="0.45">
      <c r="K65" s="1" t="s">
        <v>437</v>
      </c>
      <c r="L65" s="1">
        <f>L$61+E13*1000</f>
        <v>-6000</v>
      </c>
      <c r="M65" s="1">
        <f>M$61+F13*1000</f>
        <v>4000</v>
      </c>
      <c r="N65" s="1">
        <f>N$61+G13*1000</f>
        <v>4000</v>
      </c>
    </row>
    <row r="66" spans="10:14" x14ac:dyDescent="0.45">
      <c r="J66" s="1">
        <v>25</v>
      </c>
      <c r="K66" s="1" t="s">
        <v>436</v>
      </c>
      <c r="L66" s="1">
        <f>L$60+E10*1000</f>
        <v>11800</v>
      </c>
      <c r="M66" s="1">
        <f>M$60+F10*1000</f>
        <v>11800</v>
      </c>
      <c r="N66" s="1">
        <f>N$60+G10*1000</f>
        <v>11800</v>
      </c>
    </row>
    <row r="67" spans="10:14" x14ac:dyDescent="0.45">
      <c r="K67" s="1" t="s">
        <v>437</v>
      </c>
      <c r="L67" s="1">
        <f>L$61+E13*1000</f>
        <v>-6000</v>
      </c>
      <c r="M67" s="1">
        <f>M$61+F13*1000</f>
        <v>4000</v>
      </c>
      <c r="N67" s="1">
        <f>N$61+G13*1000</f>
        <v>4000</v>
      </c>
    </row>
    <row r="68" spans="10:14" x14ac:dyDescent="0.45">
      <c r="J68" s="1">
        <v>26</v>
      </c>
      <c r="K68" s="1" t="s">
        <v>436</v>
      </c>
      <c r="L68" s="1">
        <f>L$60+E10*1000</f>
        <v>11800</v>
      </c>
      <c r="M68" s="1">
        <f>M$60+F10*1000</f>
        <v>11800</v>
      </c>
      <c r="N68" s="1">
        <f>N$60+G10*1000</f>
        <v>11800</v>
      </c>
    </row>
    <row r="69" spans="10:14" x14ac:dyDescent="0.45">
      <c r="K69" s="1" t="s">
        <v>437</v>
      </c>
      <c r="L69" s="1">
        <f>L$61</f>
        <v>-10000</v>
      </c>
      <c r="M69" s="1">
        <f>M$61</f>
        <v>0</v>
      </c>
      <c r="N69" s="1">
        <f>N$61</f>
        <v>0</v>
      </c>
    </row>
    <row r="70" spans="10:14" x14ac:dyDescent="0.45">
      <c r="J70" s="1">
        <v>27</v>
      </c>
      <c r="K70" s="1" t="s">
        <v>436</v>
      </c>
      <c r="L70" s="1">
        <f>L$60</f>
        <v>0</v>
      </c>
      <c r="M70" s="1">
        <f>M$60</f>
        <v>0</v>
      </c>
      <c r="N70" s="1">
        <f>N$60</f>
        <v>0</v>
      </c>
    </row>
    <row r="71" spans="10:14" x14ac:dyDescent="0.45">
      <c r="K71" s="1" t="s">
        <v>437</v>
      </c>
      <c r="L71" s="1">
        <f>L$61+E15*1000</f>
        <v>-9100</v>
      </c>
      <c r="M71" s="1">
        <f>M$61+F15*1000</f>
        <v>900</v>
      </c>
      <c r="N71" s="1">
        <f>N$61+G15*1000</f>
        <v>900</v>
      </c>
    </row>
    <row r="72" spans="10:14" x14ac:dyDescent="0.45">
      <c r="J72" s="1">
        <v>28</v>
      </c>
      <c r="K72" s="1" t="s">
        <v>436</v>
      </c>
      <c r="L72" s="1">
        <f>L$60</f>
        <v>0</v>
      </c>
      <c r="M72" s="1">
        <f>M$60</f>
        <v>0</v>
      </c>
      <c r="N72" s="1">
        <f>N$60</f>
        <v>0</v>
      </c>
    </row>
    <row r="73" spans="10:14" x14ac:dyDescent="0.45">
      <c r="K73" s="1" t="s">
        <v>437</v>
      </c>
      <c r="L73" s="1">
        <f>L$61+E15*1000+E16*1000</f>
        <v>-8280</v>
      </c>
      <c r="M73" s="1">
        <f>M$61+F15*1000+F16*1000</f>
        <v>1720</v>
      </c>
      <c r="N73" s="1">
        <f>N$61+G15*1000+G16*1000</f>
        <v>1720</v>
      </c>
    </row>
    <row r="74" spans="10:14" x14ac:dyDescent="0.45">
      <c r="J74" s="1">
        <v>29</v>
      </c>
      <c r="K74" s="1" t="s">
        <v>436</v>
      </c>
      <c r="L74" s="1">
        <f>L$60+E10*1000</f>
        <v>11800</v>
      </c>
      <c r="M74" s="1">
        <f>M$60+F10*1000</f>
        <v>11800</v>
      </c>
      <c r="N74" s="1">
        <f>N$60+G10*1000</f>
        <v>11800</v>
      </c>
    </row>
    <row r="75" spans="10:14" x14ac:dyDescent="0.45">
      <c r="K75" s="1" t="s">
        <v>437</v>
      </c>
      <c r="L75" s="1">
        <f>L$61+E15*1000+E16*1000</f>
        <v>-8280</v>
      </c>
      <c r="M75" s="1">
        <f>M$61+F15*1000+F16*1000</f>
        <v>1720</v>
      </c>
      <c r="N75" s="1">
        <f>N$61+G15*1000+G16*1000</f>
        <v>1720</v>
      </c>
    </row>
    <row r="76" spans="10:14" x14ac:dyDescent="0.45">
      <c r="J76" s="1">
        <v>30</v>
      </c>
      <c r="K76" s="1" t="s">
        <v>436</v>
      </c>
      <c r="L76" s="1">
        <f>L$60+E10*1000</f>
        <v>11800</v>
      </c>
      <c r="M76" s="1">
        <f>M$60+F10*1000</f>
        <v>11800</v>
      </c>
      <c r="N76" s="1">
        <f>N$60+G10*1000</f>
        <v>11800</v>
      </c>
    </row>
    <row r="77" spans="10:14" x14ac:dyDescent="0.45">
      <c r="K77" s="1" t="s">
        <v>437</v>
      </c>
      <c r="L77" s="1">
        <f>L$61+E15*1000</f>
        <v>-9100</v>
      </c>
      <c r="M77" s="1">
        <f>M$61+F15*1000</f>
        <v>900</v>
      </c>
      <c r="N77" s="1">
        <f>N$61+G15*1000</f>
        <v>900</v>
      </c>
    </row>
    <row r="78" spans="10:14" x14ac:dyDescent="0.45">
      <c r="J78" s="1">
        <v>31</v>
      </c>
      <c r="K78" s="1" t="s">
        <v>436</v>
      </c>
      <c r="L78" s="1">
        <f>L$60</f>
        <v>0</v>
      </c>
      <c r="M78" s="1">
        <f>M$60</f>
        <v>0</v>
      </c>
      <c r="N78" s="1">
        <f>N$60</f>
        <v>0</v>
      </c>
    </row>
    <row r="79" spans="10:14" x14ac:dyDescent="0.45">
      <c r="K79" s="1" t="s">
        <v>437</v>
      </c>
      <c r="L79" s="1">
        <f>L$61+E15*1000+E14*1000</f>
        <v>-8700</v>
      </c>
      <c r="M79" s="1">
        <f>M$61+F15*1000+F14*1000</f>
        <v>1300</v>
      </c>
      <c r="N79" s="1">
        <f>N$61+G15*1000+G14*1000</f>
        <v>1300</v>
      </c>
    </row>
    <row r="80" spans="10:14" x14ac:dyDescent="0.45">
      <c r="J80" s="1">
        <v>32</v>
      </c>
      <c r="K80" s="1" t="s">
        <v>436</v>
      </c>
      <c r="L80" s="1">
        <f>L$60+E10*1000</f>
        <v>11800</v>
      </c>
      <c r="M80" s="1">
        <f>M$60+F10*1000</f>
        <v>11800</v>
      </c>
      <c r="N80" s="1">
        <f>N$60+G10*1000</f>
        <v>11800</v>
      </c>
    </row>
    <row r="81" spans="10:15" x14ac:dyDescent="0.45">
      <c r="J81" s="313"/>
      <c r="K81" s="313" t="s">
        <v>437</v>
      </c>
      <c r="L81" s="313">
        <f>L$61+E15*1000+E14*1000</f>
        <v>-8700</v>
      </c>
      <c r="M81" s="313">
        <f>M$61+F15*1000+F14*1000</f>
        <v>1300</v>
      </c>
      <c r="N81" s="313">
        <f>N$61+G15*1000+G14*1000</f>
        <v>1300</v>
      </c>
      <c r="O81" s="313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L87"/>
  <sheetViews>
    <sheetView workbookViewId="0">
      <selection activeCell="F95" sqref="F95"/>
    </sheetView>
  </sheetViews>
  <sheetFormatPr defaultColWidth="9.1328125" defaultRowHeight="14.25" x14ac:dyDescent="0.45"/>
  <cols>
    <col min="1" max="1" width="37.86328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96875" style="1" customWidth="1"/>
    <col min="10" max="16384" width="9.1328125" style="1"/>
  </cols>
  <sheetData>
    <row r="2" spans="1:12" ht="15.4" x14ac:dyDescent="0.45">
      <c r="K2" s="25"/>
      <c r="L2" s="26"/>
    </row>
    <row r="3" spans="1:12" ht="18.75" x14ac:dyDescent="0.7">
      <c r="A3" s="238"/>
      <c r="B3" s="239"/>
    </row>
    <row r="4" spans="1:12" ht="15.4" x14ac:dyDescent="0.45">
      <c r="K4" s="27"/>
      <c r="L4" s="28"/>
    </row>
    <row r="6" spans="1:12" ht="14.65" thickBot="1" x14ac:dyDescent="0.5">
      <c r="K6" s="414" t="s">
        <v>27</v>
      </c>
    </row>
    <row r="7" spans="1:12" ht="28.8" customHeight="1" thickBot="1" x14ac:dyDescent="0.5">
      <c r="A7" s="11"/>
      <c r="B7" s="12"/>
      <c r="C7" s="12"/>
      <c r="D7" s="56"/>
      <c r="E7" s="2" t="s">
        <v>249</v>
      </c>
      <c r="F7" s="315" t="str">
        <f>_ПС!E6</f>
        <v>Ст1.1</v>
      </c>
      <c r="G7" s="181" t="str">
        <f>_ПС!F6</f>
        <v>Ст1.2</v>
      </c>
      <c r="H7" s="182" t="str">
        <f>_ПС!G6</f>
        <v>Ст1.3</v>
      </c>
      <c r="K7" s="414"/>
    </row>
    <row r="8" spans="1:12" x14ac:dyDescent="0.45">
      <c r="A8" s="57" t="s">
        <v>12</v>
      </c>
      <c r="B8" s="16"/>
      <c r="C8" s="16"/>
      <c r="D8" s="18"/>
      <c r="E8" s="342">
        <f>SUM(F8:H8)</f>
        <v>25.8</v>
      </c>
      <c r="F8" s="4">
        <f>_ПС!E$28</f>
        <v>12.9</v>
      </c>
      <c r="G8" s="5">
        <f>_ПС!G$28</f>
        <v>12.9</v>
      </c>
      <c r="H8" s="6">
        <f>_ПС!H$28</f>
        <v>0</v>
      </c>
      <c r="K8" s="24">
        <f t="shared" ref="K8:K38" si="0">IF(E8=0,0,1)</f>
        <v>1</v>
      </c>
    </row>
    <row r="9" spans="1:12" x14ac:dyDescent="0.45">
      <c r="A9" s="57" t="s">
        <v>14</v>
      </c>
      <c r="B9" s="16"/>
      <c r="C9" s="16"/>
      <c r="D9" s="18"/>
      <c r="E9" s="345">
        <f t="shared" ref="E9:E42" si="1">SUM(F9:H9)</f>
        <v>0</v>
      </c>
      <c r="F9" s="7">
        <f>_ПС!E$31</f>
        <v>0</v>
      </c>
      <c r="G9" s="1">
        <f>_ПС!G$31</f>
        <v>0</v>
      </c>
      <c r="H9" s="8">
        <f>_ПС!H$31</f>
        <v>0</v>
      </c>
      <c r="K9" s="24">
        <f t="shared" si="0"/>
        <v>0</v>
      </c>
    </row>
    <row r="10" spans="1:12" ht="14.65" thickBot="1" x14ac:dyDescent="0.5">
      <c r="A10" s="57" t="s">
        <v>9</v>
      </c>
      <c r="B10" s="16"/>
      <c r="C10" s="16"/>
      <c r="D10" s="18"/>
      <c r="E10" s="345">
        <f t="shared" si="1"/>
        <v>12.6</v>
      </c>
      <c r="F10" s="7">
        <f>_ПС!E$32</f>
        <v>6.3</v>
      </c>
      <c r="G10" s="1">
        <f>_ПС!G$32</f>
        <v>6.3</v>
      </c>
      <c r="H10" s="8">
        <f>_ПС!H$32</f>
        <v>0</v>
      </c>
      <c r="K10" s="24">
        <f t="shared" si="0"/>
        <v>1</v>
      </c>
    </row>
    <row r="11" spans="1:12" x14ac:dyDescent="0.45">
      <c r="A11" s="267" t="s">
        <v>417</v>
      </c>
      <c r="B11" s="268" t="s">
        <v>35</v>
      </c>
      <c r="C11" s="154"/>
      <c r="D11" s="269"/>
      <c r="E11" s="342">
        <f t="shared" si="1"/>
        <v>79</v>
      </c>
      <c r="F11" s="4">
        <f>_ПС!E$21</f>
        <v>37.800000000000004</v>
      </c>
      <c r="G11" s="5">
        <f>_ПС!G$21</f>
        <v>41.2</v>
      </c>
      <c r="H11" s="6">
        <f>_ПС!H$21</f>
        <v>0</v>
      </c>
      <c r="K11" s="24">
        <f t="shared" si="0"/>
        <v>1</v>
      </c>
    </row>
    <row r="12" spans="1:12" x14ac:dyDescent="0.4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7" t="e">
        <f ca="1">INDIRECT(ADDRESS(5,4,,,_ПС!E$5))</f>
        <v>#REF!</v>
      </c>
      <c r="G12" s="10"/>
      <c r="H12" s="230"/>
      <c r="K12" s="24" t="e">
        <f t="shared" ca="1" si="0"/>
        <v>#REF!</v>
      </c>
    </row>
    <row r="13" spans="1:12" x14ac:dyDescent="0.4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7" t="e">
        <f ca="1">INDIRECT(ADDRESS(6,4,,,_ПС!E$5))</f>
        <v>#REF!</v>
      </c>
      <c r="G13" s="10"/>
      <c r="H13" s="230"/>
      <c r="K13" s="24" t="e">
        <f t="shared" ca="1" si="0"/>
        <v>#REF!</v>
      </c>
    </row>
    <row r="14" spans="1:12" x14ac:dyDescent="0.4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7" t="e">
        <f ca="1">INDIRECT(ADDRESS(7,4,,,_ПС!E$5))</f>
        <v>#REF!</v>
      </c>
      <c r="G14" s="10"/>
      <c r="H14" s="230"/>
      <c r="K14" s="24" t="e">
        <f t="shared" ca="1" si="0"/>
        <v>#REF!</v>
      </c>
    </row>
    <row r="15" spans="1:12" x14ac:dyDescent="0.4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7" t="e">
        <f ca="1">INDIRECT(ADDRESS(8,3,,,_ПС!E$5))</f>
        <v>#REF!</v>
      </c>
      <c r="G15" s="10"/>
      <c r="H15" s="230"/>
      <c r="K15" s="24" t="e">
        <f t="shared" ca="1" si="0"/>
        <v>#REF!</v>
      </c>
    </row>
    <row r="16" spans="1:12" x14ac:dyDescent="0.4">
      <c r="A16" s="58" t="s">
        <v>26</v>
      </c>
      <c r="B16" s="168" t="s">
        <v>192</v>
      </c>
      <c r="C16" s="52" t="s">
        <v>145</v>
      </c>
      <c r="D16" s="19">
        <v>8</v>
      </c>
      <c r="E16" s="380" t="e">
        <f ca="1">SUM(F16:H16)</f>
        <v>#REF!</v>
      </c>
      <c r="F16" s="367" t="e">
        <f ca="1">INDIRECT(ADDRESS(9,3,,,_ПС!E$5))</f>
        <v>#REF!</v>
      </c>
      <c r="G16" s="10"/>
      <c r="H16" s="230"/>
      <c r="I16" s="15"/>
      <c r="K16" s="24" t="e">
        <f t="shared" ca="1" si="0"/>
        <v>#REF!</v>
      </c>
    </row>
    <row r="17" spans="1:11" x14ac:dyDescent="0.4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7" t="e">
        <f ca="1">INDIRECT(ADDRESS(10,3,,,_ПС!E$5))</f>
        <v>#REF!</v>
      </c>
      <c r="G17" s="10"/>
      <c r="H17" s="230"/>
      <c r="K17" s="24" t="e">
        <f t="shared" ca="1" si="0"/>
        <v>#REF!</v>
      </c>
    </row>
    <row r="18" spans="1:11" x14ac:dyDescent="0.4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7" t="e">
        <f ca="1">INDIRECT(ADDRESS(11,3,,,_ПС!E$5))</f>
        <v>#REF!</v>
      </c>
      <c r="G18" s="10"/>
      <c r="H18" s="230"/>
      <c r="K18" s="24" t="e">
        <f t="shared" ca="1" si="0"/>
        <v>#REF!</v>
      </c>
    </row>
    <row r="19" spans="1:11" x14ac:dyDescent="0.4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7" t="e">
        <f ca="1">INDIRECT(ADDRESS(12,3,,,_ПС!E$5))</f>
        <v>#REF!</v>
      </c>
      <c r="G19" s="10"/>
      <c r="H19" s="230"/>
      <c r="K19" s="24" t="e">
        <f t="shared" ca="1" si="0"/>
        <v>#REF!</v>
      </c>
    </row>
    <row r="20" spans="1:11" x14ac:dyDescent="0.4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7" t="e">
        <f ca="1">INDIRECT(ADDRESS(13,3,,,_ПС!E$5))</f>
        <v>#REF!</v>
      </c>
      <c r="G20" s="10"/>
      <c r="H20" s="230"/>
      <c r="K20" s="24" t="e">
        <f t="shared" ca="1" si="0"/>
        <v>#REF!</v>
      </c>
    </row>
    <row r="21" spans="1:11" x14ac:dyDescent="0.4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7" t="e">
        <f ca="1">INDIRECT(ADDRESS(14,3,,,_ПС!E$5))</f>
        <v>#REF!</v>
      </c>
      <c r="G21" s="10"/>
      <c r="H21" s="230"/>
      <c r="K21" s="24" t="e">
        <f t="shared" ca="1" si="0"/>
        <v>#REF!</v>
      </c>
    </row>
    <row r="22" spans="1:11" x14ac:dyDescent="0.4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7" t="e">
        <f ca="1">INDIRECT(ADDRESS(15,3,,,_ПС!E$5))</f>
        <v>#REF!</v>
      </c>
      <c r="G22" s="10"/>
      <c r="H22" s="230"/>
      <c r="K22" s="24" t="e">
        <f t="shared" ca="1" si="0"/>
        <v>#REF!</v>
      </c>
    </row>
    <row r="23" spans="1:11" x14ac:dyDescent="0.4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7" t="e">
        <f ca="1">INDIRECT(ADDRESS(16,3,,,_ПС!E$5))</f>
        <v>#REF!</v>
      </c>
      <c r="G23" s="10"/>
      <c r="H23" s="230"/>
      <c r="K23" s="24" t="e">
        <f t="shared" ca="1" si="0"/>
        <v>#REF!</v>
      </c>
    </row>
    <row r="24" spans="1:11" x14ac:dyDescent="0.4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7" t="e">
        <f ca="1">INDIRECT(ADDRESS(17,3,,,_ПС!E$5))</f>
        <v>#REF!</v>
      </c>
      <c r="G24" s="10"/>
      <c r="H24" s="230"/>
      <c r="K24" s="24" t="e">
        <f t="shared" ca="1" si="0"/>
        <v>#REF!</v>
      </c>
    </row>
    <row r="25" spans="1:11" x14ac:dyDescent="0.4">
      <c r="A25" s="58" t="s">
        <v>26</v>
      </c>
      <c r="B25" s="168" t="s">
        <v>192</v>
      </c>
      <c r="C25" s="52" t="s">
        <v>145</v>
      </c>
      <c r="D25" s="19">
        <v>28</v>
      </c>
      <c r="E25" s="380" t="e">
        <f ca="1">SUM(F25:H25)</f>
        <v>#REF!</v>
      </c>
      <c r="F25" s="367" t="e">
        <f ca="1">INDIRECT(ADDRESS(18,3,,,_ПС!E$5))</f>
        <v>#REF!</v>
      </c>
      <c r="G25" s="10"/>
      <c r="H25" s="230"/>
      <c r="K25" s="24" t="e">
        <f t="shared" ca="1" si="0"/>
        <v>#REF!</v>
      </c>
    </row>
    <row r="26" spans="1:11" x14ac:dyDescent="0.4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7" t="e">
        <f ca="1">INDIRECT(ADDRESS(19,3,,,_ПС!E$5))</f>
        <v>#REF!</v>
      </c>
      <c r="G26" s="10"/>
      <c r="H26" s="230"/>
      <c r="K26" s="24" t="e">
        <f t="shared" ca="1" si="0"/>
        <v>#REF!</v>
      </c>
    </row>
    <row r="27" spans="1:11" x14ac:dyDescent="0.4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7" t="e">
        <f ca="1">INDIRECT(ADDRESS(20,3,,,_ПС!E$5))</f>
        <v>#REF!</v>
      </c>
      <c r="G27" s="10"/>
      <c r="H27" s="230"/>
      <c r="K27" s="24" t="e">
        <f t="shared" ca="1" si="0"/>
        <v>#REF!</v>
      </c>
    </row>
    <row r="28" spans="1:11" x14ac:dyDescent="0.4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7" t="e">
        <f ca="1">INDIRECT(ADDRESS(21,3,,,_ПС!E$5))</f>
        <v>#REF!</v>
      </c>
      <c r="G28" s="10"/>
      <c r="H28" s="230"/>
      <c r="K28" s="24" t="e">
        <f t="shared" ca="1" si="0"/>
        <v>#REF!</v>
      </c>
    </row>
    <row r="29" spans="1:11" x14ac:dyDescent="0.4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7" t="e">
        <f ca="1">INDIRECT(ADDRESS(8,2,,,_ПС!E$5))</f>
        <v>#REF!</v>
      </c>
      <c r="G29" s="10"/>
      <c r="H29" s="230"/>
      <c r="K29" s="24" t="e">
        <f t="shared" ca="1" si="0"/>
        <v>#REF!</v>
      </c>
    </row>
    <row r="30" spans="1:11" x14ac:dyDescent="0.4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7" t="e">
        <f ca="1">INDIRECT(ADDRESS(9,2,,,_ПС!E$5))</f>
        <v>#REF!</v>
      </c>
      <c r="G30" s="10"/>
      <c r="H30" s="230"/>
      <c r="K30" s="24" t="e">
        <f t="shared" ca="1" si="0"/>
        <v>#REF!</v>
      </c>
    </row>
    <row r="31" spans="1:11" x14ac:dyDescent="0.4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7" t="e">
        <f ca="1">INDIRECT(ADDRESS(10,2,,,_ПС!E$5))</f>
        <v>#REF!</v>
      </c>
      <c r="G31" s="10"/>
      <c r="H31" s="230"/>
      <c r="K31" s="24" t="e">
        <f t="shared" ca="1" si="0"/>
        <v>#REF!</v>
      </c>
    </row>
    <row r="32" spans="1:11" x14ac:dyDescent="0.4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7" t="e">
        <f ca="1">INDIRECT(ADDRESS(11,2,,,_ПС!E$5))</f>
        <v>#REF!</v>
      </c>
      <c r="G32" s="10"/>
      <c r="H32" s="230"/>
      <c r="K32" s="24" t="e">
        <f t="shared" ca="1" si="0"/>
        <v>#REF!</v>
      </c>
    </row>
    <row r="33" spans="1:11" x14ac:dyDescent="0.4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7" t="e">
        <f ca="1">INDIRECT(ADDRESS(12,2,,,_ПС!E$5))</f>
        <v>#REF!</v>
      </c>
      <c r="G33" s="10"/>
      <c r="H33" s="230"/>
      <c r="K33" s="24" t="e">
        <f t="shared" ca="1" si="0"/>
        <v>#REF!</v>
      </c>
    </row>
    <row r="34" spans="1:11" x14ac:dyDescent="0.4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7" t="e">
        <f ca="1">INDIRECT(ADDRESS(13,2,,,_ПС!E$5))</f>
        <v>#REF!</v>
      </c>
      <c r="G34" s="10"/>
      <c r="H34" s="230"/>
      <c r="K34" s="24" t="e">
        <f t="shared" ca="1" si="0"/>
        <v>#REF!</v>
      </c>
    </row>
    <row r="35" spans="1:11" x14ac:dyDescent="0.4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7" t="e">
        <f ca="1">INDIRECT(ADDRESS(14,2,,,_ПС!E$5))</f>
        <v>#REF!</v>
      </c>
      <c r="G35" s="10"/>
      <c r="H35" s="230"/>
      <c r="K35" s="24" t="e">
        <f t="shared" ca="1" si="0"/>
        <v>#REF!</v>
      </c>
    </row>
    <row r="36" spans="1:11" x14ac:dyDescent="0.4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7" t="e">
        <f ca="1">INDIRECT(ADDRESS(15,2,,,_ПС!E$5))</f>
        <v>#REF!</v>
      </c>
      <c r="G36" s="10"/>
      <c r="H36" s="230"/>
      <c r="K36" s="24" t="e">
        <f t="shared" ca="1" si="0"/>
        <v>#REF!</v>
      </c>
    </row>
    <row r="37" spans="1:11" x14ac:dyDescent="0.4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7" t="e">
        <f ca="1">INDIRECT(ADDRESS(16,2,,,_ПС!E$5))</f>
        <v>#REF!</v>
      </c>
      <c r="G37" s="10"/>
      <c r="H37" s="230"/>
      <c r="K37" s="24" t="e">
        <f t="shared" ca="1" si="0"/>
        <v>#REF!</v>
      </c>
    </row>
    <row r="38" spans="1:11" x14ac:dyDescent="0.4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7" t="e">
        <f ca="1">INDIRECT(ADDRESS(17,2,,,_ПС!E$5))</f>
        <v>#REF!</v>
      </c>
      <c r="G38" s="10"/>
      <c r="H38" s="230"/>
      <c r="K38" s="24" t="e">
        <f t="shared" ca="1" si="0"/>
        <v>#REF!</v>
      </c>
    </row>
    <row r="39" spans="1:11" x14ac:dyDescent="0.4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7" t="e">
        <f ca="1">INDIRECT(ADDRESS(18,2,,,_ПС!E$5))</f>
        <v>#REF!</v>
      </c>
      <c r="G39" s="10"/>
      <c r="H39" s="230"/>
      <c r="K39" s="24" t="e">
        <f t="shared" ref="K39:K68" ca="1" si="2">IF(E39=0,0,1)</f>
        <v>#REF!</v>
      </c>
    </row>
    <row r="40" spans="1:11" x14ac:dyDescent="0.4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7" t="e">
        <f ca="1">INDIRECT(ADDRESS(19,2,,,_ПС!E$5))</f>
        <v>#REF!</v>
      </c>
      <c r="G40" s="10"/>
      <c r="H40" s="230"/>
      <c r="K40" s="24" t="e">
        <f t="shared" ca="1" si="2"/>
        <v>#REF!</v>
      </c>
    </row>
    <row r="41" spans="1:11" x14ac:dyDescent="0.4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7" t="e">
        <f ca="1">INDIRECT(ADDRESS(20,2,,,_ПС!E$5))</f>
        <v>#REF!</v>
      </c>
      <c r="G41" s="10"/>
      <c r="H41" s="230"/>
      <c r="K41" s="24" t="e">
        <f t="shared" ca="1" si="2"/>
        <v>#REF!</v>
      </c>
    </row>
    <row r="42" spans="1:11" x14ac:dyDescent="0.4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7" t="e">
        <f ca="1">INDIRECT(ADDRESS(21,2,,,_ПС!E$5))</f>
        <v>#REF!</v>
      </c>
      <c r="G42" s="10"/>
      <c r="H42" s="230"/>
      <c r="K42" s="24" t="e">
        <f t="shared" ca="1" si="2"/>
        <v>#REF!</v>
      </c>
    </row>
    <row r="43" spans="1:11" ht="15.6" customHeight="1" thickBot="1" x14ac:dyDescent="0.45">
      <c r="A43" s="58"/>
      <c r="B43" s="17"/>
      <c r="C43" s="54" t="s">
        <v>147</v>
      </c>
      <c r="D43" s="19" t="s">
        <v>146</v>
      </c>
      <c r="E43" s="381" t="e">
        <f ca="1">SUM(F43:H43)</f>
        <v>#REF!</v>
      </c>
      <c r="F43" s="368" t="e">
        <f ca="1">INDIRECT(ADDRESS(35,3,,,_ПС!E$5))</f>
        <v>#REF!</v>
      </c>
      <c r="G43" s="275"/>
      <c r="H43" s="276"/>
      <c r="K43" s="24" t="e">
        <f t="shared" ca="1" si="2"/>
        <v>#REF!</v>
      </c>
    </row>
    <row r="44" spans="1:11" x14ac:dyDescent="0.45">
      <c r="A44" s="267" t="s">
        <v>416</v>
      </c>
      <c r="B44" s="268" t="s">
        <v>39</v>
      </c>
      <c r="C44" s="154"/>
      <c r="D44" s="269"/>
      <c r="E44" s="382">
        <f t="shared" ref="E44:E83" si="3">SUM(F44:H44)</f>
        <v>55.6</v>
      </c>
      <c r="F44" s="7">
        <f>_ПС!E$22</f>
        <v>19.600000000000001</v>
      </c>
      <c r="G44" s="1">
        <f>_ПС!G$22</f>
        <v>36</v>
      </c>
      <c r="H44" s="8">
        <f>_ПС!H$22</f>
        <v>0</v>
      </c>
      <c r="K44" s="24">
        <f t="shared" si="2"/>
        <v>1</v>
      </c>
    </row>
    <row r="45" spans="1:11" x14ac:dyDescent="0.4">
      <c r="A45" s="83" t="s">
        <v>26</v>
      </c>
      <c r="B45" s="169" t="s">
        <v>25</v>
      </c>
      <c r="C45" s="52" t="s">
        <v>145</v>
      </c>
      <c r="D45" s="84">
        <v>3</v>
      </c>
      <c r="E45" s="380" t="e">
        <f t="shared" ca="1" si="3"/>
        <v>#REF!</v>
      </c>
      <c r="F45" s="367" t="e">
        <f ca="1">INDIRECT(ADDRESS(5,4,,,_ПС!E$7))</f>
        <v>#REF!</v>
      </c>
      <c r="G45" s="10"/>
      <c r="H45" s="230"/>
      <c r="K45" s="24" t="e">
        <f t="shared" ca="1" si="2"/>
        <v>#REF!</v>
      </c>
    </row>
    <row r="46" spans="1:11" x14ac:dyDescent="0.4">
      <c r="A46" s="83" t="s">
        <v>26</v>
      </c>
      <c r="B46" s="169" t="s">
        <v>25</v>
      </c>
      <c r="C46" s="52" t="s">
        <v>145</v>
      </c>
      <c r="D46" s="84">
        <v>4</v>
      </c>
      <c r="E46" s="380" t="e">
        <f t="shared" ca="1" si="3"/>
        <v>#REF!</v>
      </c>
      <c r="F46" s="367" t="e">
        <f ca="1">INDIRECT(ADDRESS(6,4,,,_ПС!E$7))</f>
        <v>#REF!</v>
      </c>
      <c r="G46" s="10"/>
      <c r="H46" s="230"/>
      <c r="K46" s="24" t="e">
        <f t="shared" ca="1" si="2"/>
        <v>#REF!</v>
      </c>
    </row>
    <row r="47" spans="1:11" x14ac:dyDescent="0.4">
      <c r="A47" s="83" t="s">
        <v>26</v>
      </c>
      <c r="B47" s="169" t="s">
        <v>25</v>
      </c>
      <c r="C47" s="52" t="s">
        <v>145</v>
      </c>
      <c r="D47" s="84">
        <v>5</v>
      </c>
      <c r="E47" s="380" t="e">
        <f t="shared" ca="1" si="3"/>
        <v>#REF!</v>
      </c>
      <c r="F47" s="367" t="e">
        <f ca="1">INDIRECT(ADDRESS(7,4,,,_ПС!E$7))</f>
        <v>#REF!</v>
      </c>
      <c r="G47" s="10"/>
      <c r="H47" s="230"/>
      <c r="K47" s="24" t="e">
        <f t="shared" ca="1" si="2"/>
        <v>#REF!</v>
      </c>
    </row>
    <row r="48" spans="1:11" x14ac:dyDescent="0.4">
      <c r="A48" s="58" t="s">
        <v>26</v>
      </c>
      <c r="B48" s="168" t="s">
        <v>192</v>
      </c>
      <c r="C48" s="52" t="s">
        <v>145</v>
      </c>
      <c r="D48" s="19">
        <v>6</v>
      </c>
      <c r="E48" s="380" t="e">
        <f t="shared" ca="1" si="3"/>
        <v>#REF!</v>
      </c>
      <c r="F48" s="367" t="e">
        <f ca="1">INDIRECT(ADDRESS(8,3,,,_ПС!E$7))</f>
        <v>#REF!</v>
      </c>
      <c r="G48" s="10"/>
      <c r="H48" s="230"/>
      <c r="K48" s="24" t="e">
        <f t="shared" ca="1" si="2"/>
        <v>#REF!</v>
      </c>
    </row>
    <row r="49" spans="1:11" x14ac:dyDescent="0.4">
      <c r="A49" s="58" t="s">
        <v>26</v>
      </c>
      <c r="B49" s="168" t="s">
        <v>192</v>
      </c>
      <c r="C49" s="52" t="s">
        <v>145</v>
      </c>
      <c r="D49" s="19">
        <v>8</v>
      </c>
      <c r="E49" s="380" t="e">
        <f t="shared" ca="1" si="3"/>
        <v>#REF!</v>
      </c>
      <c r="F49" s="367" t="e">
        <f ca="1">INDIRECT(ADDRESS(9,3,,,_ПС!E$7))</f>
        <v>#REF!</v>
      </c>
      <c r="G49" s="10"/>
      <c r="H49" s="230"/>
      <c r="K49" s="24" t="e">
        <f t="shared" ca="1" si="2"/>
        <v>#REF!</v>
      </c>
    </row>
    <row r="50" spans="1:11" x14ac:dyDescent="0.4">
      <c r="A50" s="58" t="s">
        <v>26</v>
      </c>
      <c r="B50" s="168" t="s">
        <v>192</v>
      </c>
      <c r="C50" s="52" t="s">
        <v>145</v>
      </c>
      <c r="D50" s="19">
        <v>10</v>
      </c>
      <c r="E50" s="380" t="e">
        <f t="shared" ca="1" si="3"/>
        <v>#REF!</v>
      </c>
      <c r="F50" s="367" t="e">
        <f ca="1">INDIRECT(ADDRESS(10,3,,,_ПС!E$7))</f>
        <v>#REF!</v>
      </c>
      <c r="G50" s="10"/>
      <c r="H50" s="230"/>
      <c r="K50" s="24" t="e">
        <f t="shared" ca="1" si="2"/>
        <v>#REF!</v>
      </c>
    </row>
    <row r="51" spans="1:11" x14ac:dyDescent="0.4">
      <c r="A51" s="58" t="s">
        <v>26</v>
      </c>
      <c r="B51" s="168" t="s">
        <v>192</v>
      </c>
      <c r="C51" s="52" t="s">
        <v>145</v>
      </c>
      <c r="D51" s="19">
        <v>12</v>
      </c>
      <c r="E51" s="380" t="e">
        <f t="shared" ca="1" si="3"/>
        <v>#REF!</v>
      </c>
      <c r="F51" s="367" t="e">
        <f ca="1">INDIRECT(ADDRESS(11,3,,,_ПС!E$7))</f>
        <v>#REF!</v>
      </c>
      <c r="G51" s="10"/>
      <c r="H51" s="230"/>
      <c r="K51" s="24" t="e">
        <f t="shared" ca="1" si="2"/>
        <v>#REF!</v>
      </c>
    </row>
    <row r="52" spans="1:11" x14ac:dyDescent="0.4">
      <c r="A52" s="58" t="s">
        <v>26</v>
      </c>
      <c r="B52" s="168" t="s">
        <v>192</v>
      </c>
      <c r="C52" s="52" t="s">
        <v>145</v>
      </c>
      <c r="D52" s="19">
        <v>14</v>
      </c>
      <c r="E52" s="380" t="e">
        <f t="shared" ca="1" si="3"/>
        <v>#REF!</v>
      </c>
      <c r="F52" s="367" t="e">
        <f ca="1">INDIRECT(ADDRESS(12,3,,,_ПС!E$7))</f>
        <v>#REF!</v>
      </c>
      <c r="G52" s="10"/>
      <c r="H52" s="230"/>
      <c r="K52" s="24" t="e">
        <f t="shared" ca="1" si="2"/>
        <v>#REF!</v>
      </c>
    </row>
    <row r="53" spans="1:11" x14ac:dyDescent="0.4">
      <c r="A53" s="58" t="s">
        <v>26</v>
      </c>
      <c r="B53" s="168" t="s">
        <v>192</v>
      </c>
      <c r="C53" s="52" t="s">
        <v>145</v>
      </c>
      <c r="D53" s="19">
        <v>16</v>
      </c>
      <c r="E53" s="380" t="e">
        <f t="shared" ca="1" si="3"/>
        <v>#REF!</v>
      </c>
      <c r="F53" s="367" t="e">
        <f ca="1">INDIRECT(ADDRESS(13,3,,,_ПС!E$7))</f>
        <v>#REF!</v>
      </c>
      <c r="G53" s="10"/>
      <c r="H53" s="230"/>
      <c r="K53" s="24" t="e">
        <f t="shared" ca="1" si="2"/>
        <v>#REF!</v>
      </c>
    </row>
    <row r="54" spans="1:11" x14ac:dyDescent="0.4">
      <c r="A54" s="58" t="s">
        <v>26</v>
      </c>
      <c r="B54" s="168" t="s">
        <v>192</v>
      </c>
      <c r="C54" s="52" t="s">
        <v>145</v>
      </c>
      <c r="D54" s="19">
        <v>18</v>
      </c>
      <c r="E54" s="380" t="e">
        <f t="shared" ca="1" si="3"/>
        <v>#REF!</v>
      </c>
      <c r="F54" s="367" t="e">
        <f ca="1">INDIRECT(ADDRESS(14,3,,,_ПС!E$7))</f>
        <v>#REF!</v>
      </c>
      <c r="G54" s="10"/>
      <c r="H54" s="230"/>
      <c r="K54" s="24" t="e">
        <f t="shared" ca="1" si="2"/>
        <v>#REF!</v>
      </c>
    </row>
    <row r="55" spans="1:11" x14ac:dyDescent="0.4">
      <c r="A55" s="58" t="s">
        <v>26</v>
      </c>
      <c r="B55" s="168" t="s">
        <v>192</v>
      </c>
      <c r="C55" s="52" t="s">
        <v>145</v>
      </c>
      <c r="D55" s="19">
        <v>20</v>
      </c>
      <c r="E55" s="380" t="e">
        <f t="shared" ca="1" si="3"/>
        <v>#REF!</v>
      </c>
      <c r="F55" s="367" t="e">
        <f ca="1">INDIRECT(ADDRESS(15,3,,,_ПС!E$7))</f>
        <v>#REF!</v>
      </c>
      <c r="G55" s="10"/>
      <c r="H55" s="230"/>
      <c r="K55" s="24" t="e">
        <f t="shared" ca="1" si="2"/>
        <v>#REF!</v>
      </c>
    </row>
    <row r="56" spans="1:11" x14ac:dyDescent="0.4">
      <c r="A56" s="58" t="s">
        <v>26</v>
      </c>
      <c r="B56" s="168" t="s">
        <v>192</v>
      </c>
      <c r="C56" s="52" t="s">
        <v>145</v>
      </c>
      <c r="D56" s="19">
        <v>22</v>
      </c>
      <c r="E56" s="380" t="e">
        <f t="shared" ca="1" si="3"/>
        <v>#REF!</v>
      </c>
      <c r="F56" s="367" t="e">
        <f ca="1">INDIRECT(ADDRESS(16,3,,,_ПС!E$7))</f>
        <v>#REF!</v>
      </c>
      <c r="G56" s="10"/>
      <c r="H56" s="230"/>
      <c r="K56" s="24" t="e">
        <f t="shared" ca="1" si="2"/>
        <v>#REF!</v>
      </c>
    </row>
    <row r="57" spans="1:11" x14ac:dyDescent="0.4">
      <c r="A57" s="58" t="s">
        <v>26</v>
      </c>
      <c r="B57" s="168" t="s">
        <v>192</v>
      </c>
      <c r="C57" s="52" t="s">
        <v>145</v>
      </c>
      <c r="D57" s="19">
        <v>25</v>
      </c>
      <c r="E57" s="380" t="e">
        <f t="shared" ca="1" si="3"/>
        <v>#REF!</v>
      </c>
      <c r="F57" s="367" t="e">
        <f ca="1">INDIRECT(ADDRESS(17,3,,,_ПС!E$7))</f>
        <v>#REF!</v>
      </c>
      <c r="G57" s="10"/>
      <c r="H57" s="230"/>
      <c r="K57" s="24" t="e">
        <f t="shared" ca="1" si="2"/>
        <v>#REF!</v>
      </c>
    </row>
    <row r="58" spans="1:11" x14ac:dyDescent="0.4">
      <c r="A58" s="58" t="s">
        <v>26</v>
      </c>
      <c r="B58" s="168" t="s">
        <v>192</v>
      </c>
      <c r="C58" s="52" t="s">
        <v>145</v>
      </c>
      <c r="D58" s="19">
        <v>28</v>
      </c>
      <c r="E58" s="380" t="e">
        <f t="shared" ca="1" si="3"/>
        <v>#REF!</v>
      </c>
      <c r="F58" s="367" t="e">
        <f ca="1">INDIRECT(ADDRESS(18,3,,,_ПС!E$7))</f>
        <v>#REF!</v>
      </c>
      <c r="G58" s="10"/>
      <c r="H58" s="230"/>
      <c r="K58" s="24" t="e">
        <f t="shared" ca="1" si="2"/>
        <v>#REF!</v>
      </c>
    </row>
    <row r="59" spans="1:11" x14ac:dyDescent="0.4">
      <c r="A59" s="58" t="s">
        <v>26</v>
      </c>
      <c r="B59" s="168" t="s">
        <v>192</v>
      </c>
      <c r="C59" s="52" t="s">
        <v>145</v>
      </c>
      <c r="D59" s="19">
        <v>32</v>
      </c>
      <c r="E59" s="380" t="e">
        <f t="shared" ca="1" si="3"/>
        <v>#REF!</v>
      </c>
      <c r="F59" s="367" t="e">
        <f ca="1">INDIRECT(ADDRESS(19,3,,,_ПС!E$7))</f>
        <v>#REF!</v>
      </c>
      <c r="G59" s="10"/>
      <c r="H59" s="230"/>
      <c r="K59" s="24" t="e">
        <f t="shared" ca="1" si="2"/>
        <v>#REF!</v>
      </c>
    </row>
    <row r="60" spans="1:11" x14ac:dyDescent="0.4">
      <c r="A60" s="58" t="s">
        <v>26</v>
      </c>
      <c r="B60" s="168" t="s">
        <v>192</v>
      </c>
      <c r="C60" s="52" t="s">
        <v>145</v>
      </c>
      <c r="D60" s="19">
        <v>36</v>
      </c>
      <c r="E60" s="380" t="e">
        <f t="shared" ca="1" si="3"/>
        <v>#REF!</v>
      </c>
      <c r="F60" s="367" t="e">
        <f ca="1">INDIRECT(ADDRESS(20,3,,,_ПС!E$7))</f>
        <v>#REF!</v>
      </c>
      <c r="G60" s="10"/>
      <c r="H60" s="230"/>
      <c r="K60" s="24" t="e">
        <f t="shared" ca="1" si="2"/>
        <v>#REF!</v>
      </c>
    </row>
    <row r="61" spans="1:11" x14ac:dyDescent="0.4">
      <c r="A61" s="58" t="s">
        <v>26</v>
      </c>
      <c r="B61" s="168" t="s">
        <v>192</v>
      </c>
      <c r="C61" s="52" t="s">
        <v>145</v>
      </c>
      <c r="D61" s="19">
        <v>40</v>
      </c>
      <c r="E61" s="380" t="e">
        <f t="shared" ca="1" si="3"/>
        <v>#REF!</v>
      </c>
      <c r="F61" s="367" t="e">
        <f ca="1">INDIRECT(ADDRESS(21,3,,,_ПС!E$7))</f>
        <v>#REF!</v>
      </c>
      <c r="G61" s="10"/>
      <c r="H61" s="230"/>
      <c r="K61" s="24" t="e">
        <f t="shared" ca="1" si="2"/>
        <v>#REF!</v>
      </c>
    </row>
    <row r="62" spans="1:11" x14ac:dyDescent="0.4">
      <c r="A62" s="58" t="s">
        <v>26</v>
      </c>
      <c r="B62" s="170" t="s">
        <v>193</v>
      </c>
      <c r="C62" s="52" t="s">
        <v>145</v>
      </c>
      <c r="D62" s="19">
        <v>6</v>
      </c>
      <c r="E62" s="380" t="e">
        <f t="shared" ca="1" si="3"/>
        <v>#REF!</v>
      </c>
      <c r="F62" s="367" t="e">
        <f ca="1">INDIRECT(ADDRESS(8,2,,,_ПС!E$7))</f>
        <v>#REF!</v>
      </c>
      <c r="G62" s="10"/>
      <c r="H62" s="230"/>
      <c r="K62" s="24" t="e">
        <f t="shared" ca="1" si="2"/>
        <v>#REF!</v>
      </c>
    </row>
    <row r="63" spans="1:11" x14ac:dyDescent="0.4">
      <c r="A63" s="58" t="s">
        <v>26</v>
      </c>
      <c r="B63" s="170" t="s">
        <v>193</v>
      </c>
      <c r="C63" s="52" t="s">
        <v>145</v>
      </c>
      <c r="D63" s="19">
        <v>8</v>
      </c>
      <c r="E63" s="380" t="e">
        <f t="shared" ca="1" si="3"/>
        <v>#REF!</v>
      </c>
      <c r="F63" s="367" t="e">
        <f ca="1">INDIRECT(ADDRESS(9,2,,,_ПС!E$7))</f>
        <v>#REF!</v>
      </c>
      <c r="G63" s="10"/>
      <c r="H63" s="230"/>
      <c r="K63" s="24" t="e">
        <f t="shared" ca="1" si="2"/>
        <v>#REF!</v>
      </c>
    </row>
    <row r="64" spans="1:11" x14ac:dyDescent="0.4">
      <c r="A64" s="58" t="s">
        <v>26</v>
      </c>
      <c r="B64" s="170" t="s">
        <v>193</v>
      </c>
      <c r="C64" s="52" t="s">
        <v>145</v>
      </c>
      <c r="D64" s="19">
        <v>10</v>
      </c>
      <c r="E64" s="380" t="e">
        <f t="shared" ca="1" si="3"/>
        <v>#REF!</v>
      </c>
      <c r="F64" s="367" t="e">
        <f ca="1">INDIRECT(ADDRESS(10,2,,,_ПС!E$7))</f>
        <v>#REF!</v>
      </c>
      <c r="G64" s="10"/>
      <c r="H64" s="230"/>
      <c r="K64" s="24" t="e">
        <f t="shared" ca="1" si="2"/>
        <v>#REF!</v>
      </c>
    </row>
    <row r="65" spans="1:11" x14ac:dyDescent="0.4">
      <c r="A65" s="58" t="s">
        <v>26</v>
      </c>
      <c r="B65" s="170" t="s">
        <v>193</v>
      </c>
      <c r="C65" s="52" t="s">
        <v>145</v>
      </c>
      <c r="D65" s="19">
        <v>12</v>
      </c>
      <c r="E65" s="380" t="e">
        <f t="shared" ca="1" si="3"/>
        <v>#REF!</v>
      </c>
      <c r="F65" s="367" t="e">
        <f ca="1">INDIRECT(ADDRESS(11,2,,,_ПС!E$7))</f>
        <v>#REF!</v>
      </c>
      <c r="G65" s="10"/>
      <c r="H65" s="230"/>
      <c r="K65" s="24" t="e">
        <f t="shared" ca="1" si="2"/>
        <v>#REF!</v>
      </c>
    </row>
    <row r="66" spans="1:11" x14ac:dyDescent="0.4">
      <c r="A66" s="58" t="s">
        <v>26</v>
      </c>
      <c r="B66" s="170" t="s">
        <v>193</v>
      </c>
      <c r="C66" s="52" t="s">
        <v>145</v>
      </c>
      <c r="D66" s="19">
        <v>14</v>
      </c>
      <c r="E66" s="380" t="e">
        <f t="shared" ca="1" si="3"/>
        <v>#REF!</v>
      </c>
      <c r="F66" s="367" t="e">
        <f ca="1">INDIRECT(ADDRESS(12,2,,,_ПС!E$7))</f>
        <v>#REF!</v>
      </c>
      <c r="G66" s="10"/>
      <c r="H66" s="230"/>
      <c r="K66" s="24" t="e">
        <f t="shared" ca="1" si="2"/>
        <v>#REF!</v>
      </c>
    </row>
    <row r="67" spans="1:11" x14ac:dyDescent="0.4">
      <c r="A67" s="58" t="s">
        <v>26</v>
      </c>
      <c r="B67" s="170" t="s">
        <v>193</v>
      </c>
      <c r="C67" s="52" t="s">
        <v>145</v>
      </c>
      <c r="D67" s="19">
        <v>16</v>
      </c>
      <c r="E67" s="380" t="e">
        <f t="shared" ca="1" si="3"/>
        <v>#REF!</v>
      </c>
      <c r="F67" s="367" t="e">
        <f ca="1">INDIRECT(ADDRESS(13,2,,,_ПС!E$7))</f>
        <v>#REF!</v>
      </c>
      <c r="G67" s="10"/>
      <c r="H67" s="230"/>
      <c r="K67" s="24" t="e">
        <f t="shared" ca="1" si="2"/>
        <v>#REF!</v>
      </c>
    </row>
    <row r="68" spans="1:11" x14ac:dyDescent="0.4">
      <c r="A68" s="58" t="s">
        <v>26</v>
      </c>
      <c r="B68" s="170" t="s">
        <v>193</v>
      </c>
      <c r="C68" s="52" t="s">
        <v>145</v>
      </c>
      <c r="D68" s="19">
        <v>18</v>
      </c>
      <c r="E68" s="380" t="e">
        <f t="shared" ca="1" si="3"/>
        <v>#REF!</v>
      </c>
      <c r="F68" s="367" t="e">
        <f ca="1">INDIRECT(ADDRESS(14,2,,,_ПС!E$7))</f>
        <v>#REF!</v>
      </c>
      <c r="G68" s="10"/>
      <c r="H68" s="230"/>
      <c r="K68" s="24" t="e">
        <f t="shared" ca="1" si="2"/>
        <v>#REF!</v>
      </c>
    </row>
    <row r="69" spans="1:11" x14ac:dyDescent="0.4">
      <c r="A69" s="58" t="s">
        <v>26</v>
      </c>
      <c r="B69" s="170" t="s">
        <v>193</v>
      </c>
      <c r="C69" s="52" t="s">
        <v>145</v>
      </c>
      <c r="D69" s="19">
        <v>20</v>
      </c>
      <c r="E69" s="380" t="e">
        <f t="shared" ca="1" si="3"/>
        <v>#REF!</v>
      </c>
      <c r="F69" s="367" t="e">
        <f ca="1">INDIRECT(ADDRESS(15,2,,,_ПС!E$7))</f>
        <v>#REF!</v>
      </c>
      <c r="G69" s="10"/>
      <c r="H69" s="230"/>
      <c r="K69" s="24" t="e">
        <f t="shared" ref="K69:K84" ca="1" si="4">IF(E69=0,0,1)</f>
        <v>#REF!</v>
      </c>
    </row>
    <row r="70" spans="1:11" x14ac:dyDescent="0.4">
      <c r="A70" s="58" t="s">
        <v>26</v>
      </c>
      <c r="B70" s="170" t="s">
        <v>193</v>
      </c>
      <c r="C70" s="52" t="s">
        <v>145</v>
      </c>
      <c r="D70" s="19">
        <v>22</v>
      </c>
      <c r="E70" s="380" t="e">
        <f t="shared" ca="1" si="3"/>
        <v>#REF!</v>
      </c>
      <c r="F70" s="367" t="e">
        <f ca="1">INDIRECT(ADDRESS(16,2,,,_ПС!E$7))</f>
        <v>#REF!</v>
      </c>
      <c r="G70" s="10"/>
      <c r="H70" s="230"/>
      <c r="K70" s="24" t="e">
        <f t="shared" ca="1" si="4"/>
        <v>#REF!</v>
      </c>
    </row>
    <row r="71" spans="1:11" x14ac:dyDescent="0.4">
      <c r="A71" s="58" t="s">
        <v>26</v>
      </c>
      <c r="B71" s="170" t="s">
        <v>193</v>
      </c>
      <c r="C71" s="52" t="s">
        <v>145</v>
      </c>
      <c r="D71" s="19">
        <v>25</v>
      </c>
      <c r="E71" s="380" t="e">
        <f t="shared" ca="1" si="3"/>
        <v>#REF!</v>
      </c>
      <c r="F71" s="367" t="e">
        <f ca="1">INDIRECT(ADDRESS(17,2,,,_ПС!E$7))</f>
        <v>#REF!</v>
      </c>
      <c r="G71" s="10"/>
      <c r="H71" s="230"/>
      <c r="K71" s="24" t="e">
        <f t="shared" ca="1" si="4"/>
        <v>#REF!</v>
      </c>
    </row>
    <row r="72" spans="1:11" x14ac:dyDescent="0.4">
      <c r="A72" s="58" t="s">
        <v>26</v>
      </c>
      <c r="B72" s="170" t="s">
        <v>193</v>
      </c>
      <c r="C72" s="52" t="s">
        <v>145</v>
      </c>
      <c r="D72" s="19">
        <v>28</v>
      </c>
      <c r="E72" s="380" t="e">
        <f t="shared" ca="1" si="3"/>
        <v>#REF!</v>
      </c>
      <c r="F72" s="367" t="e">
        <f ca="1">INDIRECT(ADDRESS(18,2,,,_ПС!E$7))</f>
        <v>#REF!</v>
      </c>
      <c r="G72" s="10"/>
      <c r="H72" s="230"/>
      <c r="K72" s="24" t="e">
        <f t="shared" ca="1" si="4"/>
        <v>#REF!</v>
      </c>
    </row>
    <row r="73" spans="1:11" x14ac:dyDescent="0.4">
      <c r="A73" s="58" t="s">
        <v>26</v>
      </c>
      <c r="B73" s="170" t="s">
        <v>193</v>
      </c>
      <c r="C73" s="52" t="s">
        <v>145</v>
      </c>
      <c r="D73" s="19">
        <v>32</v>
      </c>
      <c r="E73" s="380" t="e">
        <f t="shared" ca="1" si="3"/>
        <v>#REF!</v>
      </c>
      <c r="F73" s="367" t="e">
        <f ca="1">INDIRECT(ADDRESS(19,2,,,_ПС!E$7))</f>
        <v>#REF!</v>
      </c>
      <c r="G73" s="10"/>
      <c r="H73" s="230"/>
      <c r="K73" s="24" t="e">
        <f t="shared" ca="1" si="4"/>
        <v>#REF!</v>
      </c>
    </row>
    <row r="74" spans="1:11" x14ac:dyDescent="0.4">
      <c r="A74" s="58" t="s">
        <v>26</v>
      </c>
      <c r="B74" s="170" t="s">
        <v>193</v>
      </c>
      <c r="C74" s="52" t="s">
        <v>145</v>
      </c>
      <c r="D74" s="19">
        <v>36</v>
      </c>
      <c r="E74" s="380" t="e">
        <f t="shared" ca="1" si="3"/>
        <v>#REF!</v>
      </c>
      <c r="F74" s="367" t="e">
        <f ca="1">INDIRECT(ADDRESS(20,2,,,_ПС!E$7))</f>
        <v>#REF!</v>
      </c>
      <c r="G74" s="10"/>
      <c r="H74" s="230"/>
      <c r="K74" s="24" t="e">
        <f t="shared" ca="1" si="4"/>
        <v>#REF!</v>
      </c>
    </row>
    <row r="75" spans="1:11" x14ac:dyDescent="0.4">
      <c r="A75" s="58" t="s">
        <v>26</v>
      </c>
      <c r="B75" s="170" t="s">
        <v>193</v>
      </c>
      <c r="C75" s="52" t="s">
        <v>145</v>
      </c>
      <c r="D75" s="19">
        <v>40</v>
      </c>
      <c r="E75" s="380" t="e">
        <f t="shared" ca="1" si="3"/>
        <v>#REF!</v>
      </c>
      <c r="F75" s="367" t="e">
        <f ca="1">INDIRECT(ADDRESS(21,2,,,_ПС!E$7))</f>
        <v>#REF!</v>
      </c>
      <c r="G75" s="10"/>
      <c r="H75" s="230"/>
      <c r="K75" s="24" t="e">
        <f t="shared" ca="1" si="4"/>
        <v>#REF!</v>
      </c>
    </row>
    <row r="76" spans="1:11" ht="15.6" customHeight="1" thickBot="1" x14ac:dyDescent="0.45">
      <c r="A76" s="58"/>
      <c r="B76" s="17"/>
      <c r="C76" s="54" t="s">
        <v>147</v>
      </c>
      <c r="D76" s="255" t="s">
        <v>363</v>
      </c>
      <c r="E76" s="381" t="e">
        <f t="shared" ca="1" si="3"/>
        <v>#REF!</v>
      </c>
      <c r="F76" s="367" t="e">
        <f ca="1">INDIRECT(ADDRESS(35,3,,,_ПС!E$7))</f>
        <v>#REF!</v>
      </c>
      <c r="G76" s="10"/>
      <c r="H76" s="230"/>
      <c r="K76" s="24" t="e">
        <f t="shared" ca="1" si="4"/>
        <v>#REF!</v>
      </c>
    </row>
    <row r="77" spans="1:11" x14ac:dyDescent="0.45">
      <c r="A77" s="267" t="s">
        <v>408</v>
      </c>
      <c r="B77" s="370"/>
      <c r="C77" s="370"/>
      <c r="D77" s="371"/>
      <c r="E77" s="383">
        <f t="shared" si="3"/>
        <v>2</v>
      </c>
      <c r="F77" s="4">
        <f>_ПС!E$41</f>
        <v>1</v>
      </c>
      <c r="G77" s="5">
        <f>_ПС!F$41</f>
        <v>1</v>
      </c>
      <c r="H77" s="6">
        <f>_ПС!G$41</f>
        <v>0</v>
      </c>
      <c r="K77" s="24">
        <f t="shared" si="4"/>
        <v>1</v>
      </c>
    </row>
    <row r="78" spans="1:11" x14ac:dyDescent="0.45">
      <c r="A78" s="363" t="s">
        <v>418</v>
      </c>
      <c r="B78" s="16"/>
      <c r="C78" s="16"/>
      <c r="D78" s="372"/>
      <c r="E78" s="384">
        <f t="shared" si="3"/>
        <v>9.8999999999999986</v>
      </c>
      <c r="F78" s="375">
        <f>ROUNDUP(_ПС!E$12-_ПС!E$17,1)</f>
        <v>4</v>
      </c>
      <c r="G78" s="240">
        <f>ROUNDUP(_ПС!G$12-_ПС!G$17,1)</f>
        <v>5.8999999999999995</v>
      </c>
      <c r="H78" s="369">
        <f>ROUNDUP(_ПС!H$12-_ПС!H$17,1)</f>
        <v>0</v>
      </c>
      <c r="K78" s="24">
        <f t="shared" si="4"/>
        <v>1</v>
      </c>
    </row>
    <row r="79" spans="1:11" x14ac:dyDescent="0.45">
      <c r="A79" s="363" t="s">
        <v>405</v>
      </c>
      <c r="B79" s="16"/>
      <c r="C79" s="16"/>
      <c r="D79" s="372"/>
      <c r="E79" s="384">
        <f t="shared" si="3"/>
        <v>12.899999999999999</v>
      </c>
      <c r="F79" s="375">
        <f>ROUNDUP(((_ПС!E$13*(_ПС!E$20+_ПС!E$18)/2)+(_ПС!E$13*(_ПС!E$17-_ПС!E$18)/2)+(0.5*(_ПС!E$14+_ПС!E$16)*(_ПС!E$12-_ПС!E$19))),1)</f>
        <v>5.6999999999999993</v>
      </c>
      <c r="G79" s="240">
        <f>ROUNDUP(((_ПС!G$13*(_ПС!G$20+_ПС!G$18)/2)+(_ПС!G$13*(_ПС!G$17-_ПС!G$18)/2)+(0.5*(_ПС!G$14+_ПС!G$16)*(_ПС!G$12-_ПС!G$19))),1)</f>
        <v>7.1999999999999993</v>
      </c>
      <c r="H79" s="369">
        <f>ROUNDUP(((_ПС!H$13*(_ПС!H$20+_ПС!H$18)/2)+(_ПС!H$13*(_ПС!H$17-_ПС!H$18)/2)+(0.5*(_ПС!H$14+_ПС!H$16)*(_ПС!H$12-_ПС!H$19))),1)</f>
        <v>0</v>
      </c>
      <c r="K79" s="24">
        <f t="shared" si="4"/>
        <v>1</v>
      </c>
    </row>
    <row r="80" spans="1:11" x14ac:dyDescent="0.45">
      <c r="A80" s="363" t="s">
        <v>406</v>
      </c>
      <c r="B80" s="16"/>
      <c r="C80" s="16"/>
      <c r="D80" s="372"/>
      <c r="E80" s="384">
        <f t="shared" si="3"/>
        <v>15.8</v>
      </c>
      <c r="F80" s="7">
        <f>ROUND((_ПС!E$20)+
((_ПС!E$19-_ПС!E$18)^2+(_ПС!E$13-_ПС!E$16-_ПС!E$15)^2)^0.5+
((_ПС!E$16-_ПС!E$14)^2+(_ПС!E$12-_ПС!E$19)^2)^0.5,1)</f>
        <v>6.9</v>
      </c>
      <c r="G80" s="1">
        <f>ROUND((_ПС!G$20)+
((_ПС!G$19-_ПС!G$18)^2+(_ПС!G$13-_ПС!G$16-_ПС!G$15)^2)^0.5+
((_ПС!G$16-_ПС!G$14)^2+(_ПС!G$12-_ПС!G$19)^2)^0.5,1)</f>
        <v>8.9</v>
      </c>
      <c r="H80" s="8">
        <f>ROUND((_ПС!H$20)+
((_ПС!H$19-_ПС!H$18)^2+(_ПС!H$13-_ПС!H$16-_ПС!H$15)^2)^0.5+
((_ПС!H$16-_ПС!H$14)^2+(_ПС!H$12-_ПС!H$19)^2)^0.5,1)</f>
        <v>0</v>
      </c>
      <c r="K80" s="24">
        <f t="shared" si="4"/>
        <v>1</v>
      </c>
    </row>
    <row r="81" spans="1:11" x14ac:dyDescent="0.45">
      <c r="A81" s="363" t="s">
        <v>429</v>
      </c>
      <c r="B81" s="16"/>
      <c r="C81" s="16"/>
      <c r="D81" s="372"/>
      <c r="E81" s="384">
        <f t="shared" si="3"/>
        <v>13.2</v>
      </c>
      <c r="F81" s="7">
        <f>ROUND(_ПС!E$18+(_ПС!E$12-_ПС!E$17)+((_ПС!E17-_ПС!E18)^2+_ПС!E15^2)^0.5,1)</f>
        <v>5.6</v>
      </c>
      <c r="G81" s="1">
        <f>ROUND(_ПС!G$18+(_ПС!G$12-_ПС!G$17)+((_ПС!G17-_ПС!G18)^2+_ПС!G15^2)^0.5,1)</f>
        <v>7.6</v>
      </c>
      <c r="H81" s="8">
        <f>ROUND(_ПС!H$18+(_ПС!H$12-_ПС!H$17)+((_ПС!H17-_ПС!H18)^2+_ПС!H15^2)^0.5,1)</f>
        <v>0</v>
      </c>
      <c r="K81" s="24">
        <f t="shared" si="4"/>
        <v>1</v>
      </c>
    </row>
    <row r="82" spans="1:11" x14ac:dyDescent="0.45">
      <c r="A82" s="363" t="s">
        <v>431</v>
      </c>
      <c r="B82" s="16"/>
      <c r="C82" s="16"/>
      <c r="D82" s="372"/>
      <c r="E82" s="384">
        <f t="shared" si="3"/>
        <v>2.6</v>
      </c>
      <c r="F82" s="7">
        <f>ROUND(F81*_ПС!E$42*1000,1)</f>
        <v>1.1000000000000001</v>
      </c>
      <c r="G82" s="1">
        <f>ROUND(G81*_ПС!G$42*1000,1)</f>
        <v>1.5</v>
      </c>
      <c r="H82" s="8">
        <f>ROUND(H81*_ПС!H$42*1000,1)</f>
        <v>0</v>
      </c>
      <c r="K82" s="24">
        <f t="shared" si="4"/>
        <v>1</v>
      </c>
    </row>
    <row r="83" spans="1:11" x14ac:dyDescent="0.45">
      <c r="A83" s="363" t="s">
        <v>407</v>
      </c>
      <c r="B83" s="16"/>
      <c r="C83" s="16"/>
      <c r="D83" s="372"/>
      <c r="E83" s="384">
        <f t="shared" si="3"/>
        <v>0</v>
      </c>
      <c r="F83" s="7">
        <f>ROUND(1.725*_ПС!E49,1)</f>
        <v>0</v>
      </c>
      <c r="G83" s="1">
        <f>ROUND(1.725*_ПС!G49,1)</f>
        <v>0</v>
      </c>
      <c r="H83" s="8">
        <f>ROUND(1.725*_ПС!H49,1)</f>
        <v>0</v>
      </c>
      <c r="K83" s="24">
        <f t="shared" si="4"/>
        <v>0</v>
      </c>
    </row>
    <row r="84" spans="1:11" ht="14.65" thickBot="1" x14ac:dyDescent="0.5">
      <c r="A84" s="59" t="s">
        <v>432</v>
      </c>
      <c r="B84" s="60"/>
      <c r="C84" s="60"/>
      <c r="D84" s="373"/>
      <c r="E84" s="385">
        <f>SUM(F84:H84)</f>
        <v>23.6</v>
      </c>
      <c r="F84" s="11">
        <f>_ПС!E$10*_ПС!E$43</f>
        <v>11.8</v>
      </c>
      <c r="G84" s="12">
        <f>_ПС!G$10*_ПС!G$43</f>
        <v>11.8</v>
      </c>
      <c r="H84" s="13">
        <f>_ПС!H$10*_ПС!H$43</f>
        <v>0</v>
      </c>
      <c r="K84" s="24">
        <f t="shared" si="4"/>
        <v>1</v>
      </c>
    </row>
    <row r="85" spans="1:11" x14ac:dyDescent="0.45">
      <c r="E85" s="240"/>
      <c r="K85" s="24">
        <v>2</v>
      </c>
    </row>
    <row r="87" spans="1:11" x14ac:dyDescent="0.45">
      <c r="C87" s="199"/>
    </row>
  </sheetData>
  <mergeCells count="1">
    <mergeCell ref="K6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_xludf.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Ponka</cp:lastModifiedBy>
  <dcterms:created xsi:type="dcterms:W3CDTF">2024-08-05T13:10:12Z</dcterms:created>
  <dcterms:modified xsi:type="dcterms:W3CDTF">2025-04-30T16:45:38Z</dcterms:modified>
</cp:coreProperties>
</file>